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88267054-58F9-4EB5-A8D0-3616E5F5FD80}" xr6:coauthVersionLast="47" xr6:coauthVersionMax="47" xr10:uidLastSave="{00000000-0000-0000-0000-000000000000}"/>
  <bookViews>
    <workbookView xWindow="240" yWindow="105" windowWidth="14805" windowHeight="8010" activeTab="5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6" i="2" l="1"/>
  <c r="K5" i="2"/>
  <c r="K3" i="2"/>
  <c r="C12" i="6"/>
  <c r="C13" i="6"/>
  <c r="C11" i="6"/>
  <c r="B12" i="6"/>
  <c r="B13" i="6"/>
  <c r="B11" i="6"/>
  <c r="C3" i="6"/>
  <c r="C4" i="6"/>
  <c r="C5" i="6"/>
  <c r="C6" i="6"/>
  <c r="C7" i="6"/>
  <c r="C8" i="6"/>
  <c r="C9" i="6"/>
  <c r="C2" i="6"/>
  <c r="B3" i="6"/>
  <c r="B4" i="6"/>
  <c r="B5" i="6"/>
  <c r="B6" i="6"/>
  <c r="B7" i="6"/>
  <c r="B8" i="6"/>
  <c r="B9" i="6"/>
  <c r="B2" i="6"/>
  <c r="K61" i="1"/>
  <c r="K59" i="1"/>
  <c r="K57" i="1"/>
  <c r="K55" i="1"/>
  <c r="K53" i="1"/>
  <c r="K51" i="1"/>
  <c r="K50" i="1"/>
  <c r="K49" i="1"/>
  <c r="K41" i="1"/>
  <c r="K42" i="1"/>
  <c r="K43" i="1"/>
  <c r="K44" i="1"/>
  <c r="K45" i="1"/>
  <c r="K46" i="1"/>
  <c r="K40" i="1"/>
  <c r="K37" i="1"/>
  <c r="K36" i="1"/>
  <c r="K32" i="1"/>
  <c r="K33" i="1"/>
  <c r="K3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B43" i="5"/>
  <c r="C32" i="5"/>
  <c r="C33" i="5"/>
  <c r="C34" i="5"/>
  <c r="C35" i="5"/>
  <c r="C36" i="5"/>
  <c r="C37" i="5"/>
  <c r="C38" i="5"/>
  <c r="C31" i="5"/>
  <c r="B32" i="5"/>
  <c r="B33" i="5"/>
  <c r="B34" i="5"/>
  <c r="B35" i="5"/>
  <c r="B36" i="5"/>
  <c r="B37" i="5"/>
  <c r="B38" i="5"/>
  <c r="B31" i="5"/>
  <c r="C25" i="5"/>
  <c r="C26" i="5"/>
  <c r="C24" i="5"/>
  <c r="B25" i="5"/>
  <c r="B26" i="5"/>
  <c r="B24" i="5"/>
  <c r="C15" i="5"/>
  <c r="C16" i="5"/>
  <c r="C17" i="5"/>
  <c r="C18" i="5"/>
  <c r="C19" i="5"/>
  <c r="C20" i="5"/>
  <c r="C14" i="5"/>
  <c r="B15" i="5"/>
  <c r="B16" i="5"/>
  <c r="B17" i="5"/>
  <c r="B18" i="5"/>
  <c r="B19" i="5"/>
  <c r="B20" i="5"/>
  <c r="B14" i="5"/>
  <c r="B10" i="5" a="1"/>
  <c r="B10" i="5"/>
  <c r="C10" i="5" s="1" a="1"/>
  <c r="C10" i="5" s="1"/>
  <c r="B9" i="5" a="1"/>
  <c r="B9" i="5"/>
  <c r="C9" i="5" s="1" a="1"/>
  <c r="C9" i="5" s="1"/>
  <c r="B6" i="5"/>
  <c r="B5" i="5"/>
  <c r="B4" i="5"/>
  <c r="B3" i="5"/>
  <c r="B2" i="5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3" i="4"/>
  <c r="A4" i="4"/>
  <c r="A5" i="4"/>
  <c r="A6" i="4"/>
  <c r="A7" i="4"/>
  <c r="A8" i="4"/>
  <c r="A9" i="4"/>
  <c r="A10" i="4"/>
  <c r="B2" i="4"/>
  <c r="A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<sst xmlns="http://schemas.openxmlformats.org/spreadsheetml/2006/main" count="544" uniqueCount="246">
  <si>
    <t>Teahcer ID</t>
  </si>
  <si>
    <t>Teacher Name</t>
  </si>
  <si>
    <t xml:space="preserve">Age </t>
  </si>
  <si>
    <t>Gender</t>
  </si>
  <si>
    <t>Expertise</t>
  </si>
  <si>
    <t xml:space="preserve">Years of Experience </t>
  </si>
  <si>
    <t>Teacher Rating</t>
  </si>
  <si>
    <t>Instuctor Tier</t>
  </si>
  <si>
    <t>T001</t>
  </si>
  <si>
    <t>Aarav Sharma</t>
  </si>
  <si>
    <t xml:space="preserve">Male </t>
  </si>
  <si>
    <t>Data Science</t>
  </si>
  <si>
    <t>T002</t>
  </si>
  <si>
    <t>Priya Mehta</t>
  </si>
  <si>
    <t>Female</t>
  </si>
  <si>
    <t>Business Analytics</t>
  </si>
  <si>
    <t>T003</t>
  </si>
  <si>
    <t>Rohan Kapoor</t>
  </si>
  <si>
    <t>Marketing</t>
  </si>
  <si>
    <t>T004</t>
  </si>
  <si>
    <t>Ananya Singh</t>
  </si>
  <si>
    <t>Finance</t>
  </si>
  <si>
    <t>T005</t>
  </si>
  <si>
    <t xml:space="preserve">Arjun Verma </t>
  </si>
  <si>
    <t>Technology</t>
  </si>
  <si>
    <t>T006</t>
  </si>
  <si>
    <t>Sneha Joshi</t>
  </si>
  <si>
    <t>Management</t>
  </si>
  <si>
    <t>T007</t>
  </si>
  <si>
    <t>Karan Malhotra</t>
  </si>
  <si>
    <t>Design</t>
  </si>
  <si>
    <t>T008</t>
  </si>
  <si>
    <t>Neha Mehta</t>
  </si>
  <si>
    <t>T009</t>
  </si>
  <si>
    <t>Aditya Rao</t>
  </si>
  <si>
    <t>T010</t>
  </si>
  <si>
    <t xml:space="preserve">Ishita Jain </t>
  </si>
  <si>
    <t>T011</t>
  </si>
  <si>
    <t>Rahul Bansal</t>
  </si>
  <si>
    <t>T012</t>
  </si>
  <si>
    <t>Kavya Nair</t>
  </si>
  <si>
    <t>T013</t>
  </si>
  <si>
    <t>Vivek Shah</t>
  </si>
  <si>
    <t>T014</t>
  </si>
  <si>
    <t>Simaran Kaur</t>
  </si>
  <si>
    <t>T015</t>
  </si>
  <si>
    <t>Manish Soni</t>
  </si>
  <si>
    <t>T016</t>
  </si>
  <si>
    <t>Pooja Agarwal</t>
  </si>
  <si>
    <t>T017</t>
  </si>
  <si>
    <t>Nikhil Arora</t>
  </si>
  <si>
    <t>T018</t>
  </si>
  <si>
    <t>Riya Khanna</t>
  </si>
  <si>
    <t>T019</t>
  </si>
  <si>
    <t>Sahil Kapoor</t>
  </si>
  <si>
    <t>T020</t>
  </si>
  <si>
    <t>Meera Iyer</t>
  </si>
  <si>
    <t>T021</t>
  </si>
  <si>
    <t xml:space="preserve">Varun Saxena </t>
  </si>
  <si>
    <t>T022</t>
  </si>
  <si>
    <t xml:space="preserve">Aditi Mishra </t>
  </si>
  <si>
    <t>T023</t>
  </si>
  <si>
    <t>Yash Patel</t>
  </si>
  <si>
    <t>T024</t>
  </si>
  <si>
    <t>Tanvi Desai</t>
  </si>
  <si>
    <t>T025</t>
  </si>
  <si>
    <t>Mohit TIwari</t>
  </si>
  <si>
    <t>T026</t>
  </si>
  <si>
    <t>Shreya Roy</t>
  </si>
  <si>
    <t>T027</t>
  </si>
  <si>
    <t>Akash Choudhary</t>
  </si>
  <si>
    <t>T028</t>
  </si>
  <si>
    <t>Divya Menon</t>
  </si>
  <si>
    <t>T029</t>
  </si>
  <si>
    <t>Harsh Vardhan</t>
  </si>
  <si>
    <t>No.of Teachers</t>
  </si>
  <si>
    <t>T030</t>
  </si>
  <si>
    <t>Nandini Rao</t>
  </si>
  <si>
    <t>High</t>
  </si>
  <si>
    <t>Medium</t>
  </si>
  <si>
    <t>Low</t>
  </si>
  <si>
    <t>Male</t>
  </si>
  <si>
    <t>Experience Level</t>
  </si>
  <si>
    <t xml:space="preserve">No. of Teachers </t>
  </si>
  <si>
    <t>Avg Teacher Rating</t>
  </si>
  <si>
    <t>Avg Years of experience</t>
  </si>
  <si>
    <t xml:space="preserve">Total Teachers </t>
  </si>
  <si>
    <t>Highest Teacher Rating</t>
  </si>
  <si>
    <t>Avg Age</t>
  </si>
  <si>
    <t>Course ID</t>
  </si>
  <si>
    <t>Course Name</t>
  </si>
  <si>
    <t>Course Category</t>
  </si>
  <si>
    <t>Course Level</t>
  </si>
  <si>
    <t>Course Rating</t>
  </si>
  <si>
    <t>Course Rating/Quality</t>
  </si>
  <si>
    <t>C001</t>
  </si>
  <si>
    <t>Introducaion to Data Science</t>
  </si>
  <si>
    <t>Beginner</t>
  </si>
  <si>
    <t>Quality Level</t>
  </si>
  <si>
    <t>No. of Courses</t>
  </si>
  <si>
    <t>C002</t>
  </si>
  <si>
    <t>Marketing Strategy</t>
  </si>
  <si>
    <t>Intermediate</t>
  </si>
  <si>
    <t xml:space="preserve">High </t>
  </si>
  <si>
    <t>C003</t>
  </si>
  <si>
    <t>Corporate Finance</t>
  </si>
  <si>
    <t xml:space="preserve">Finance </t>
  </si>
  <si>
    <t xml:space="preserve">Advanced </t>
  </si>
  <si>
    <t>C004</t>
  </si>
  <si>
    <t xml:space="preserve">Strategic Management </t>
  </si>
  <si>
    <t>C005</t>
  </si>
  <si>
    <t>Python Programming</t>
  </si>
  <si>
    <t>TOTAL</t>
  </si>
  <si>
    <t>C006</t>
  </si>
  <si>
    <t>UI/UX Designing</t>
  </si>
  <si>
    <t>C007</t>
  </si>
  <si>
    <t>C008</t>
  </si>
  <si>
    <t>Social Media Marketing</t>
  </si>
  <si>
    <t>C009</t>
  </si>
  <si>
    <t>Financial Planning</t>
  </si>
  <si>
    <t>C010</t>
  </si>
  <si>
    <t xml:space="preserve">Machine Learning </t>
  </si>
  <si>
    <t>C011</t>
  </si>
  <si>
    <t xml:space="preserve">Human Resource </t>
  </si>
  <si>
    <t>Human Resource</t>
  </si>
  <si>
    <t>C012</t>
  </si>
  <si>
    <t>Investment Analysis</t>
  </si>
  <si>
    <t>C013</t>
  </si>
  <si>
    <t xml:space="preserve">Web Development </t>
  </si>
  <si>
    <t>C014</t>
  </si>
  <si>
    <t>Leadership skills</t>
  </si>
  <si>
    <t>C015</t>
  </si>
  <si>
    <t xml:space="preserve">Data Visualization </t>
  </si>
  <si>
    <t>C016</t>
  </si>
  <si>
    <t xml:space="preserve">Brand Management </t>
  </si>
  <si>
    <t>C017</t>
  </si>
  <si>
    <t xml:space="preserve">SQL for Beginners </t>
  </si>
  <si>
    <t>C018</t>
  </si>
  <si>
    <t xml:space="preserve">Graphic Design Basics </t>
  </si>
  <si>
    <t>C019</t>
  </si>
  <si>
    <t>Risk Management</t>
  </si>
  <si>
    <t>C020</t>
  </si>
  <si>
    <t>Cloud Computing</t>
  </si>
  <si>
    <t>C021</t>
  </si>
  <si>
    <t>Project Management</t>
  </si>
  <si>
    <t>C022</t>
  </si>
  <si>
    <t>Consumer Behaviour</t>
  </si>
  <si>
    <t>C023</t>
  </si>
  <si>
    <t>Power BI Analytics</t>
  </si>
  <si>
    <t>C024</t>
  </si>
  <si>
    <t>Artifical Intelligence</t>
  </si>
  <si>
    <t>C025</t>
  </si>
  <si>
    <t>Accounting Essentials</t>
  </si>
  <si>
    <t>C026</t>
  </si>
  <si>
    <t>Talent Management</t>
  </si>
  <si>
    <t>C027</t>
  </si>
  <si>
    <t>Cyber Security</t>
  </si>
  <si>
    <t>C028</t>
  </si>
  <si>
    <t xml:space="preserve">Operations Management </t>
  </si>
  <si>
    <t>C029</t>
  </si>
  <si>
    <t>Advanced UI/UX Designs</t>
  </si>
  <si>
    <t>C030</t>
  </si>
  <si>
    <t xml:space="preserve">Predictive Analytics </t>
  </si>
  <si>
    <t>Transactions</t>
  </si>
  <si>
    <t>Teacher ID</t>
  </si>
  <si>
    <t>TR001</t>
  </si>
  <si>
    <t>TR002</t>
  </si>
  <si>
    <t>TR003</t>
  </si>
  <si>
    <t>TR004</t>
  </si>
  <si>
    <t>TR005</t>
  </si>
  <si>
    <t>TR006</t>
  </si>
  <si>
    <t>TR007</t>
  </si>
  <si>
    <t>TR008</t>
  </si>
  <si>
    <t>TR009</t>
  </si>
  <si>
    <t>TR010</t>
  </si>
  <si>
    <t>TR011</t>
  </si>
  <si>
    <t>TR012</t>
  </si>
  <si>
    <t>TR013</t>
  </si>
  <si>
    <t>TR014</t>
  </si>
  <si>
    <t>TR015</t>
  </si>
  <si>
    <t>TR016</t>
  </si>
  <si>
    <t>TR017</t>
  </si>
  <si>
    <t>TR018</t>
  </si>
  <si>
    <t>TR019</t>
  </si>
  <si>
    <t>TR020</t>
  </si>
  <si>
    <t>TR021</t>
  </si>
  <si>
    <t>TR022</t>
  </si>
  <si>
    <t>TR023</t>
  </si>
  <si>
    <t>TR024</t>
  </si>
  <si>
    <t>TR025</t>
  </si>
  <si>
    <t>TR026</t>
  </si>
  <si>
    <t>TR027</t>
  </si>
  <si>
    <t>TR028</t>
  </si>
  <si>
    <t>TR029</t>
  </si>
  <si>
    <t>TR030</t>
  </si>
  <si>
    <t>TR031</t>
  </si>
  <si>
    <t>TR032</t>
  </si>
  <si>
    <t>TR033</t>
  </si>
  <si>
    <t>TR034</t>
  </si>
  <si>
    <t>TR035</t>
  </si>
  <si>
    <t>TR036</t>
  </si>
  <si>
    <t>TR037</t>
  </si>
  <si>
    <t>TR038</t>
  </si>
  <si>
    <t>TR039</t>
  </si>
  <si>
    <t>TR040</t>
  </si>
  <si>
    <t>TR041</t>
  </si>
  <si>
    <t>TR042</t>
  </si>
  <si>
    <t>TR043</t>
  </si>
  <si>
    <t>TR044</t>
  </si>
  <si>
    <t>TR045</t>
  </si>
  <si>
    <t>TR046</t>
  </si>
  <si>
    <t>TR047</t>
  </si>
  <si>
    <t>TR048</t>
  </si>
  <si>
    <t>TR049</t>
  </si>
  <si>
    <t>TR050</t>
  </si>
  <si>
    <t>TR051</t>
  </si>
  <si>
    <t>TR052</t>
  </si>
  <si>
    <t>TR053</t>
  </si>
  <si>
    <t>TR054</t>
  </si>
  <si>
    <t>TR055</t>
  </si>
  <si>
    <t>TR056</t>
  </si>
  <si>
    <t>TR057</t>
  </si>
  <si>
    <t>TR058</t>
  </si>
  <si>
    <t>TR059</t>
  </si>
  <si>
    <t>TR060</t>
  </si>
  <si>
    <t>C031</t>
  </si>
  <si>
    <t>T031</t>
  </si>
  <si>
    <t>Transaction ID</t>
  </si>
  <si>
    <t xml:space="preserve">Course Name </t>
  </si>
  <si>
    <t xml:space="preserve">Course Level </t>
  </si>
  <si>
    <t xml:space="preserve">Teacher Name </t>
  </si>
  <si>
    <t>Age</t>
  </si>
  <si>
    <t>Years of Experience</t>
  </si>
  <si>
    <t>Metric</t>
  </si>
  <si>
    <t>Value</t>
  </si>
  <si>
    <t>Average Teacher Rating</t>
  </si>
  <si>
    <t>Average Course Rating</t>
  </si>
  <si>
    <t>Average Teaching Experience</t>
  </si>
  <si>
    <t>Lowest Teacher Rating</t>
  </si>
  <si>
    <t>No. of Teachers</t>
  </si>
  <si>
    <t>Avg Course Rating</t>
  </si>
  <si>
    <t>Advanced</t>
  </si>
  <si>
    <t>Course Category Analysis</t>
  </si>
  <si>
    <t>Experience Analysis</t>
  </si>
  <si>
    <t>No. of Course</t>
  </si>
  <si>
    <t>Human Reasource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</si>
</sst>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workbookViewId="0">
      <selection activeCell="J1" sqref="J1"/>
    </sheetView>
  </sheetViews>
  <sheetFormatPr defaultRowHeight="15"/>
  <cols>
    <col min="1" max="1" width="9.7109375" customWidth="1"/>
    <col min="2" max="2" width="15.5703125" customWidth="1"/>
    <col min="5" max="5" width="16.28515625" customWidth="1"/>
    <col min="6" max="6" width="17.140625" customWidth="1"/>
    <col min="7" max="7" width="13.28515625" customWidth="1"/>
    <col min="8" max="8" width="12.28515625" customWidth="1"/>
    <col min="10" max="10" width="21" customWidth="1"/>
    <col min="11" max="11" width="14.42578125" customWidth="1"/>
    <col min="12" max="12" width="16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51</v>
      </c>
      <c r="D2" t="s">
        <v>10</v>
      </c>
      <c r="E2" t="s">
        <v>11</v>
      </c>
      <c r="F2">
        <v>6</v>
      </c>
      <c r="G2">
        <v>3.5</v>
      </c>
      <c r="H2" t="str">
        <f>IF(G2&gt;=4,"High",IF(G2&gt;=3,"Medium","Low"))</f>
        <v>Medium</v>
      </c>
    </row>
    <row r="3" spans="1:8">
      <c r="A3" t="s">
        <v>12</v>
      </c>
      <c r="B3" t="s">
        <v>13</v>
      </c>
      <c r="C3">
        <v>37</v>
      </c>
      <c r="D3" t="s">
        <v>14</v>
      </c>
      <c r="E3" t="s">
        <v>15</v>
      </c>
      <c r="F3">
        <v>8</v>
      </c>
      <c r="G3">
        <v>3.8</v>
      </c>
      <c r="H3" t="str">
        <f t="shared" ref="H3:H31" si="0">IF(G3&gt;=4,"High",IF(G3&gt;=3,"Medium","Low"))</f>
        <v>Medium</v>
      </c>
    </row>
    <row r="4" spans="1:8">
      <c r="A4" t="s">
        <v>16</v>
      </c>
      <c r="B4" t="s">
        <v>17</v>
      </c>
      <c r="C4">
        <v>45</v>
      </c>
      <c r="D4" t="s">
        <v>10</v>
      </c>
      <c r="E4" t="s">
        <v>18</v>
      </c>
      <c r="F4">
        <v>9</v>
      </c>
      <c r="G4">
        <v>3.5</v>
      </c>
      <c r="H4" t="str">
        <f t="shared" si="0"/>
        <v>Medium</v>
      </c>
    </row>
    <row r="5" spans="1:8">
      <c r="A5" t="s">
        <v>19</v>
      </c>
      <c r="B5" t="s">
        <v>20</v>
      </c>
      <c r="C5">
        <v>47</v>
      </c>
      <c r="D5" t="s">
        <v>14</v>
      </c>
      <c r="E5" t="s">
        <v>21</v>
      </c>
      <c r="F5">
        <v>22</v>
      </c>
      <c r="G5">
        <v>4.2</v>
      </c>
      <c r="H5" t="str">
        <f t="shared" si="0"/>
        <v>High</v>
      </c>
    </row>
    <row r="6" spans="1:8">
      <c r="A6" t="s">
        <v>22</v>
      </c>
      <c r="B6" t="s">
        <v>23</v>
      </c>
      <c r="C6">
        <v>51</v>
      </c>
      <c r="D6" t="s">
        <v>10</v>
      </c>
      <c r="E6" t="s">
        <v>24</v>
      </c>
      <c r="F6">
        <v>19</v>
      </c>
      <c r="G6">
        <v>4</v>
      </c>
      <c r="H6" t="str">
        <f t="shared" si="0"/>
        <v>High</v>
      </c>
    </row>
    <row r="7" spans="1:8">
      <c r="A7" t="s">
        <v>25</v>
      </c>
      <c r="B7" t="s">
        <v>26</v>
      </c>
      <c r="C7">
        <v>31</v>
      </c>
      <c r="D7" t="s">
        <v>14</v>
      </c>
      <c r="E7" t="s">
        <v>27</v>
      </c>
      <c r="F7">
        <v>8</v>
      </c>
      <c r="G7">
        <v>3.6</v>
      </c>
      <c r="H7" t="str">
        <f t="shared" si="0"/>
        <v>Medium</v>
      </c>
    </row>
    <row r="8" spans="1:8">
      <c r="A8" t="s">
        <v>28</v>
      </c>
      <c r="B8" t="s">
        <v>29</v>
      </c>
      <c r="C8">
        <v>35</v>
      </c>
      <c r="D8" t="s">
        <v>10</v>
      </c>
      <c r="E8" t="s">
        <v>30</v>
      </c>
      <c r="F8">
        <v>8</v>
      </c>
      <c r="G8">
        <v>3.5</v>
      </c>
      <c r="H8" t="str">
        <f t="shared" si="0"/>
        <v>Medium</v>
      </c>
    </row>
    <row r="9" spans="1:8">
      <c r="A9" t="s">
        <v>31</v>
      </c>
      <c r="B9" t="s">
        <v>32</v>
      </c>
      <c r="C9">
        <v>30</v>
      </c>
      <c r="D9" t="s">
        <v>14</v>
      </c>
      <c r="E9" t="s">
        <v>11</v>
      </c>
      <c r="F9">
        <v>5</v>
      </c>
      <c r="G9">
        <v>3.3</v>
      </c>
      <c r="H9" t="str">
        <f t="shared" si="0"/>
        <v>Medium</v>
      </c>
    </row>
    <row r="10" spans="1:8">
      <c r="A10" t="s">
        <v>33</v>
      </c>
      <c r="B10" t="s">
        <v>34</v>
      </c>
      <c r="C10">
        <v>46</v>
      </c>
      <c r="D10" t="s">
        <v>10</v>
      </c>
      <c r="E10" t="s">
        <v>15</v>
      </c>
      <c r="F10">
        <v>11</v>
      </c>
      <c r="G10">
        <v>3.7</v>
      </c>
      <c r="H10" t="str">
        <f t="shared" si="0"/>
        <v>Medium</v>
      </c>
    </row>
    <row r="11" spans="1:8">
      <c r="A11" t="s">
        <v>35</v>
      </c>
      <c r="B11" t="s">
        <v>36</v>
      </c>
      <c r="C11">
        <v>31</v>
      </c>
      <c r="D11" t="s">
        <v>14</v>
      </c>
      <c r="E11" t="s">
        <v>18</v>
      </c>
      <c r="F11">
        <v>3</v>
      </c>
      <c r="G11">
        <v>3</v>
      </c>
      <c r="H11" t="str">
        <f t="shared" si="0"/>
        <v>Medium</v>
      </c>
    </row>
    <row r="12" spans="1:8">
      <c r="A12" t="s">
        <v>37</v>
      </c>
      <c r="B12" t="s">
        <v>38</v>
      </c>
      <c r="C12">
        <v>51</v>
      </c>
      <c r="D12" t="s">
        <v>10</v>
      </c>
      <c r="E12" t="s">
        <v>21</v>
      </c>
      <c r="F12">
        <v>16</v>
      </c>
      <c r="G12">
        <v>4</v>
      </c>
      <c r="H12" t="str">
        <f t="shared" si="0"/>
        <v>High</v>
      </c>
    </row>
    <row r="13" spans="1:8">
      <c r="A13" t="s">
        <v>39</v>
      </c>
      <c r="B13" t="s">
        <v>40</v>
      </c>
      <c r="C13">
        <v>34</v>
      </c>
      <c r="D13" t="s">
        <v>14</v>
      </c>
      <c r="E13" t="s">
        <v>24</v>
      </c>
      <c r="F13">
        <v>8</v>
      </c>
      <c r="G13">
        <v>3.5</v>
      </c>
      <c r="H13" t="str">
        <f t="shared" si="0"/>
        <v>Medium</v>
      </c>
    </row>
    <row r="14" spans="1:8">
      <c r="A14" t="s">
        <v>41</v>
      </c>
      <c r="B14" t="s">
        <v>42</v>
      </c>
      <c r="C14">
        <v>40</v>
      </c>
      <c r="D14" t="s">
        <v>10</v>
      </c>
      <c r="E14" t="s">
        <v>27</v>
      </c>
      <c r="F14">
        <v>9</v>
      </c>
      <c r="G14">
        <v>3.9</v>
      </c>
      <c r="H14" t="str">
        <f t="shared" si="0"/>
        <v>Medium</v>
      </c>
    </row>
    <row r="15" spans="1:8">
      <c r="A15" t="s">
        <v>43</v>
      </c>
      <c r="B15" t="s">
        <v>44</v>
      </c>
      <c r="C15">
        <v>31</v>
      </c>
      <c r="D15" t="s">
        <v>14</v>
      </c>
      <c r="E15" t="s">
        <v>30</v>
      </c>
      <c r="F15">
        <v>3</v>
      </c>
      <c r="G15">
        <v>3.5</v>
      </c>
      <c r="H15" t="str">
        <f t="shared" si="0"/>
        <v>Medium</v>
      </c>
    </row>
    <row r="16" spans="1:8">
      <c r="A16" t="s">
        <v>45</v>
      </c>
      <c r="B16" t="s">
        <v>46</v>
      </c>
      <c r="C16">
        <v>36</v>
      </c>
      <c r="D16" t="s">
        <v>10</v>
      </c>
      <c r="E16" t="s">
        <v>11</v>
      </c>
      <c r="F16">
        <v>7</v>
      </c>
      <c r="G16">
        <v>3.5</v>
      </c>
      <c r="H16" t="str">
        <f t="shared" si="0"/>
        <v>Medium</v>
      </c>
    </row>
    <row r="17" spans="1:11">
      <c r="A17" t="s">
        <v>47</v>
      </c>
      <c r="B17" t="s">
        <v>48</v>
      </c>
      <c r="C17">
        <v>54</v>
      </c>
      <c r="D17" t="s">
        <v>14</v>
      </c>
      <c r="E17" t="s">
        <v>15</v>
      </c>
      <c r="F17">
        <v>7</v>
      </c>
      <c r="G17">
        <v>3.7</v>
      </c>
      <c r="H17" t="str">
        <f t="shared" si="0"/>
        <v>Medium</v>
      </c>
    </row>
    <row r="18" spans="1:11">
      <c r="A18" t="s">
        <v>49</v>
      </c>
      <c r="B18" t="s">
        <v>50</v>
      </c>
      <c r="C18">
        <v>32</v>
      </c>
      <c r="D18" t="s">
        <v>10</v>
      </c>
      <c r="E18" t="s">
        <v>18</v>
      </c>
      <c r="F18">
        <v>4</v>
      </c>
      <c r="G18">
        <v>3.5</v>
      </c>
      <c r="H18" t="str">
        <f t="shared" si="0"/>
        <v>Medium</v>
      </c>
    </row>
    <row r="19" spans="1:11">
      <c r="A19" t="s">
        <v>51</v>
      </c>
      <c r="B19" t="s">
        <v>52</v>
      </c>
      <c r="C19">
        <v>50</v>
      </c>
      <c r="D19" t="s">
        <v>14</v>
      </c>
      <c r="E19" t="s">
        <v>21</v>
      </c>
      <c r="F19">
        <v>16</v>
      </c>
      <c r="G19">
        <v>4</v>
      </c>
      <c r="H19" t="str">
        <f t="shared" si="0"/>
        <v>High</v>
      </c>
    </row>
    <row r="20" spans="1:11">
      <c r="A20" t="s">
        <v>53</v>
      </c>
      <c r="B20" t="s">
        <v>54</v>
      </c>
      <c r="C20">
        <v>39</v>
      </c>
      <c r="D20" t="s">
        <v>10</v>
      </c>
      <c r="E20" t="s">
        <v>24</v>
      </c>
      <c r="F20">
        <v>15</v>
      </c>
      <c r="G20">
        <v>3.7</v>
      </c>
      <c r="H20" t="str">
        <f t="shared" si="0"/>
        <v>Medium</v>
      </c>
    </row>
    <row r="21" spans="1:11">
      <c r="A21" t="s">
        <v>55</v>
      </c>
      <c r="B21" t="s">
        <v>56</v>
      </c>
      <c r="C21">
        <v>38</v>
      </c>
      <c r="D21" t="s">
        <v>14</v>
      </c>
      <c r="E21" t="s">
        <v>27</v>
      </c>
      <c r="F21">
        <v>11</v>
      </c>
      <c r="G21">
        <v>3.8</v>
      </c>
      <c r="H21" t="str">
        <f t="shared" si="0"/>
        <v>Medium</v>
      </c>
    </row>
    <row r="22" spans="1:11">
      <c r="A22" t="s">
        <v>57</v>
      </c>
      <c r="B22" t="s">
        <v>58</v>
      </c>
      <c r="C22">
        <v>29</v>
      </c>
      <c r="D22" t="s">
        <v>10</v>
      </c>
      <c r="E22" t="s">
        <v>30</v>
      </c>
      <c r="F22">
        <v>3</v>
      </c>
      <c r="G22">
        <v>3.2</v>
      </c>
      <c r="H22" t="str">
        <f t="shared" si="0"/>
        <v>Medium</v>
      </c>
    </row>
    <row r="23" spans="1:11">
      <c r="A23" t="s">
        <v>59</v>
      </c>
      <c r="B23" t="s">
        <v>60</v>
      </c>
      <c r="C23">
        <v>39</v>
      </c>
      <c r="D23" t="s">
        <v>14</v>
      </c>
      <c r="E23" t="s">
        <v>11</v>
      </c>
      <c r="F23">
        <v>5</v>
      </c>
      <c r="G23">
        <v>3.6</v>
      </c>
      <c r="H23" t="str">
        <f t="shared" si="0"/>
        <v>Medium</v>
      </c>
    </row>
    <row r="24" spans="1:11">
      <c r="A24" t="s">
        <v>61</v>
      </c>
      <c r="B24" t="s">
        <v>62</v>
      </c>
      <c r="C24">
        <v>40</v>
      </c>
      <c r="D24" t="s">
        <v>10</v>
      </c>
      <c r="E24" t="s">
        <v>15</v>
      </c>
      <c r="F24">
        <v>11</v>
      </c>
      <c r="G24">
        <v>3.8</v>
      </c>
      <c r="H24" t="str">
        <f t="shared" si="0"/>
        <v>Medium</v>
      </c>
    </row>
    <row r="25" spans="1:11">
      <c r="A25" t="s">
        <v>63</v>
      </c>
      <c r="B25" t="s">
        <v>64</v>
      </c>
      <c r="C25">
        <v>31</v>
      </c>
      <c r="D25" t="s">
        <v>14</v>
      </c>
      <c r="E25" t="s">
        <v>18</v>
      </c>
      <c r="F25">
        <v>7</v>
      </c>
      <c r="G25">
        <v>3.3</v>
      </c>
      <c r="H25" t="str">
        <f t="shared" si="0"/>
        <v>Medium</v>
      </c>
    </row>
    <row r="26" spans="1:11">
      <c r="A26" t="s">
        <v>65</v>
      </c>
      <c r="B26" t="s">
        <v>66</v>
      </c>
      <c r="C26">
        <v>40</v>
      </c>
      <c r="D26" t="s">
        <v>10</v>
      </c>
      <c r="E26" t="s">
        <v>21</v>
      </c>
      <c r="F26">
        <v>11</v>
      </c>
      <c r="G26">
        <v>4.2</v>
      </c>
      <c r="H26" t="str">
        <f t="shared" si="0"/>
        <v>High</v>
      </c>
    </row>
    <row r="27" spans="1:11">
      <c r="A27" t="s">
        <v>67</v>
      </c>
      <c r="B27" t="s">
        <v>68</v>
      </c>
      <c r="C27">
        <v>48</v>
      </c>
      <c r="D27" t="s">
        <v>14</v>
      </c>
      <c r="E27" t="s">
        <v>24</v>
      </c>
      <c r="F27">
        <v>13</v>
      </c>
      <c r="G27">
        <v>3.9</v>
      </c>
      <c r="H27" t="str">
        <f t="shared" si="0"/>
        <v>Medium</v>
      </c>
    </row>
    <row r="28" spans="1:11">
      <c r="A28" t="s">
        <v>69</v>
      </c>
      <c r="B28" t="s">
        <v>70</v>
      </c>
      <c r="C28">
        <v>27</v>
      </c>
      <c r="D28" t="s">
        <v>10</v>
      </c>
      <c r="E28" t="s">
        <v>27</v>
      </c>
      <c r="F28">
        <v>4</v>
      </c>
      <c r="G28">
        <v>3.5</v>
      </c>
      <c r="H28" t="str">
        <f t="shared" si="0"/>
        <v>Medium</v>
      </c>
    </row>
    <row r="29" spans="1:11">
      <c r="A29" t="s">
        <v>71</v>
      </c>
      <c r="B29" t="s">
        <v>72</v>
      </c>
      <c r="C29">
        <v>54</v>
      </c>
      <c r="D29" t="s">
        <v>14</v>
      </c>
      <c r="E29" t="s">
        <v>30</v>
      </c>
      <c r="F29">
        <v>13</v>
      </c>
      <c r="G29">
        <v>3.7</v>
      </c>
      <c r="H29" t="str">
        <f t="shared" si="0"/>
        <v>Medium</v>
      </c>
    </row>
    <row r="30" spans="1:11">
      <c r="A30" t="s">
        <v>73</v>
      </c>
      <c r="B30" t="s">
        <v>74</v>
      </c>
      <c r="C30">
        <v>28</v>
      </c>
      <c r="D30" t="s">
        <v>10</v>
      </c>
      <c r="E30" t="s">
        <v>11</v>
      </c>
      <c r="F30">
        <v>5</v>
      </c>
      <c r="G30">
        <v>3.4</v>
      </c>
      <c r="H30" t="str">
        <f t="shared" si="0"/>
        <v>Medium</v>
      </c>
      <c r="J30" t="s">
        <v>7</v>
      </c>
      <c r="K30" t="s">
        <v>75</v>
      </c>
    </row>
    <row r="31" spans="1:11">
      <c r="A31" t="s">
        <v>76</v>
      </c>
      <c r="B31" t="s">
        <v>77</v>
      </c>
      <c r="C31">
        <v>48</v>
      </c>
      <c r="D31" t="s">
        <v>14</v>
      </c>
      <c r="E31" t="s">
        <v>15</v>
      </c>
      <c r="F31">
        <v>9</v>
      </c>
      <c r="G31">
        <v>3.5</v>
      </c>
      <c r="H31" t="str">
        <f t="shared" si="0"/>
        <v>Medium</v>
      </c>
      <c r="J31" t="s">
        <v>78</v>
      </c>
      <c r="K31">
        <f>COUNTIF($H$2:$H$30,J31)</f>
        <v>5</v>
      </c>
    </row>
    <row r="32" spans="1:11">
      <c r="J32" t="s">
        <v>79</v>
      </c>
      <c r="K32">
        <f t="shared" ref="K32:K33" si="1">COUNTIF($H$2:$H$30,J32)</f>
        <v>24</v>
      </c>
    </row>
    <row r="33" spans="10:11">
      <c r="J33" t="s">
        <v>80</v>
      </c>
      <c r="K33">
        <f t="shared" si="1"/>
        <v>0</v>
      </c>
    </row>
    <row r="35" spans="10:11">
      <c r="J35" t="s">
        <v>3</v>
      </c>
      <c r="K35" t="s">
        <v>75</v>
      </c>
    </row>
    <row r="36" spans="10:11">
      <c r="J36" t="s">
        <v>81</v>
      </c>
      <c r="K36">
        <f>COUNTIF($D$2:$D$30,"*Male*")</f>
        <v>29</v>
      </c>
    </row>
    <row r="37" spans="10:11">
      <c r="J37" t="s">
        <v>14</v>
      </c>
      <c r="K37">
        <f>COUNTIF($D$2:$D$30,"*Female*")</f>
        <v>14</v>
      </c>
    </row>
    <row r="39" spans="10:11">
      <c r="J39" t="s">
        <v>4</v>
      </c>
      <c r="K39" t="s">
        <v>75</v>
      </c>
    </row>
    <row r="40" spans="10:11">
      <c r="J40" t="s">
        <v>11</v>
      </c>
      <c r="K40">
        <f>COUNTIF($E$2:$E$30,J40)</f>
        <v>5</v>
      </c>
    </row>
    <row r="41" spans="10:11">
      <c r="J41" t="s">
        <v>15</v>
      </c>
      <c r="K41">
        <f t="shared" ref="K41:K46" si="2">COUNTIF($E$2:$E$30,J41)</f>
        <v>4</v>
      </c>
    </row>
    <row r="42" spans="10:11">
      <c r="J42" t="s">
        <v>18</v>
      </c>
      <c r="K42">
        <f t="shared" si="2"/>
        <v>4</v>
      </c>
    </row>
    <row r="43" spans="10:11">
      <c r="J43" t="s">
        <v>21</v>
      </c>
      <c r="K43">
        <f t="shared" si="2"/>
        <v>4</v>
      </c>
    </row>
    <row r="44" spans="10:11">
      <c r="J44" t="s">
        <v>24</v>
      </c>
      <c r="K44">
        <f t="shared" si="2"/>
        <v>4</v>
      </c>
    </row>
    <row r="45" spans="10:11">
      <c r="J45" t="s">
        <v>27</v>
      </c>
      <c r="K45">
        <f t="shared" si="2"/>
        <v>4</v>
      </c>
    </row>
    <row r="46" spans="10:11">
      <c r="J46" t="s">
        <v>30</v>
      </c>
      <c r="K46">
        <f t="shared" si="2"/>
        <v>4</v>
      </c>
    </row>
    <row r="48" spans="10:11">
      <c r="J48" t="s">
        <v>82</v>
      </c>
      <c r="K48" t="s">
        <v>83</v>
      </c>
    </row>
    <row r="49" spans="10:11">
      <c r="J49" t="s">
        <v>78</v>
      </c>
      <c r="K49">
        <f>COUNTIFS($F$2:$F$30,"&lt;=5")</f>
        <v>8</v>
      </c>
    </row>
    <row r="50" spans="10:11">
      <c r="J50" t="s">
        <v>79</v>
      </c>
      <c r="K50">
        <f>COUNTIFS($F$2:$F$30,"&gt;=6",$F$2:$F$30,"&lt;=10")</f>
        <v>10</v>
      </c>
    </row>
    <row r="51" spans="10:11">
      <c r="J51" t="s">
        <v>80</v>
      </c>
      <c r="K51">
        <f>COUNTIF($F$2:$F$30,"&gt;=11")</f>
        <v>11</v>
      </c>
    </row>
    <row r="53" spans="10:11">
      <c r="J53" t="s">
        <v>84</v>
      </c>
      <c r="K53">
        <f>AVERAGE(G2:G30)</f>
        <v>3.6482758620689659</v>
      </c>
    </row>
    <row r="55" spans="10:11">
      <c r="J55" t="s">
        <v>85</v>
      </c>
      <c r="K55">
        <f>AVERAGE(F2:F30)</f>
        <v>9.2068965517241388</v>
      </c>
    </row>
    <row r="57" spans="10:11">
      <c r="J57" t="s">
        <v>86</v>
      </c>
      <c r="K57">
        <f>COUNTA(A2:A30)</f>
        <v>29</v>
      </c>
    </row>
    <row r="59" spans="10:11">
      <c r="J59" t="s">
        <v>87</v>
      </c>
      <c r="K59">
        <f>MAX(G2:G30)</f>
        <v>4.2</v>
      </c>
    </row>
    <row r="61" spans="10:11">
      <c r="J61" t="s">
        <v>88</v>
      </c>
      <c r="K61">
        <f>AVERAGE(C2:C30)</f>
        <v>39.482758620689658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4F1FB-85E3-4B20-8A85-57BF6EDFD540}">
  <dimension ref="A1:K31"/>
  <sheetViews>
    <sheetView workbookViewId="0">
      <selection activeCell="K7" sqref="K7"/>
    </sheetView>
  </sheetViews>
  <sheetFormatPr defaultRowHeight="15"/>
  <cols>
    <col min="2" max="2" width="25.140625" customWidth="1"/>
    <col min="3" max="3" width="16.140625" customWidth="1"/>
    <col min="4" max="4" width="11.28515625" customWidth="1"/>
    <col min="5" max="5" width="12.28515625" customWidth="1"/>
    <col min="10" max="10" width="19.28515625" customWidth="1"/>
    <col min="11" max="11" width="13.28515625" customWidth="1"/>
  </cols>
  <sheetData>
    <row r="1" spans="1:11">
      <c r="A1" t="s">
        <v>89</v>
      </c>
      <c r="B1" t="s">
        <v>90</v>
      </c>
      <c r="C1" t="s">
        <v>91</v>
      </c>
      <c r="D1" t="s">
        <v>92</v>
      </c>
      <c r="E1" t="s">
        <v>93</v>
      </c>
      <c r="J1" t="s">
        <v>94</v>
      </c>
    </row>
    <row r="2" spans="1:11">
      <c r="A2" t="s">
        <v>95</v>
      </c>
      <c r="B2" t="s">
        <v>96</v>
      </c>
      <c r="C2" t="s">
        <v>11</v>
      </c>
      <c r="D2" t="s">
        <v>97</v>
      </c>
      <c r="E2">
        <v>4.5999999999999996</v>
      </c>
      <c r="J2" t="s">
        <v>98</v>
      </c>
      <c r="K2" s="1" t="s">
        <v>99</v>
      </c>
    </row>
    <row r="3" spans="1:11">
      <c r="A3" t="s">
        <v>100</v>
      </c>
      <c r="B3" t="s">
        <v>101</v>
      </c>
      <c r="C3" t="s">
        <v>18</v>
      </c>
      <c r="D3" t="s">
        <v>102</v>
      </c>
      <c r="E3">
        <v>4.3</v>
      </c>
      <c r="J3" t="s">
        <v>103</v>
      </c>
      <c r="K3">
        <f>COUNTIF(Sheet2!$E$2:$E$31,"&gt;=4.5")</f>
        <v>19</v>
      </c>
    </row>
    <row r="4" spans="1:11">
      <c r="A4" t="s">
        <v>104</v>
      </c>
      <c r="B4" t="s">
        <v>105</v>
      </c>
      <c r="C4" t="s">
        <v>106</v>
      </c>
      <c r="D4" t="s">
        <v>107</v>
      </c>
      <c r="E4">
        <v>4.7</v>
      </c>
      <c r="J4" t="s">
        <v>79</v>
      </c>
      <c r="K4">
        <v>7</v>
      </c>
    </row>
    <row r="5" spans="1:11">
      <c r="A5" t="s">
        <v>108</v>
      </c>
      <c r="B5" t="s">
        <v>109</v>
      </c>
      <c r="C5" t="s">
        <v>27</v>
      </c>
      <c r="D5" t="s">
        <v>97</v>
      </c>
      <c r="E5">
        <v>4.5</v>
      </c>
      <c r="J5" t="s">
        <v>80</v>
      </c>
      <c r="K5">
        <f>COUNTIF(Sheet2!$E$2:$E$31,"&lt;4.3")</f>
        <v>4</v>
      </c>
    </row>
    <row r="6" spans="1:11">
      <c r="A6" t="s">
        <v>110</v>
      </c>
      <c r="B6" t="s">
        <v>111</v>
      </c>
      <c r="C6" t="s">
        <v>24</v>
      </c>
      <c r="D6" t="s">
        <v>102</v>
      </c>
      <c r="E6">
        <v>4.4000000000000004</v>
      </c>
      <c r="J6" t="s">
        <v>112</v>
      </c>
      <c r="K6">
        <f>SUM(K3:K5)</f>
        <v>30</v>
      </c>
    </row>
    <row r="7" spans="1:11">
      <c r="A7" t="s">
        <v>113</v>
      </c>
      <c r="B7" t="s">
        <v>114</v>
      </c>
      <c r="C7" t="s">
        <v>30</v>
      </c>
      <c r="D7" t="s">
        <v>107</v>
      </c>
      <c r="E7">
        <v>4.2</v>
      </c>
    </row>
    <row r="8" spans="1:11">
      <c r="A8" t="s">
        <v>115</v>
      </c>
      <c r="B8" t="s">
        <v>15</v>
      </c>
      <c r="C8" t="s">
        <v>15</v>
      </c>
      <c r="D8" t="s">
        <v>97</v>
      </c>
      <c r="E8">
        <v>4.8</v>
      </c>
    </row>
    <row r="9" spans="1:11">
      <c r="A9" t="s">
        <v>116</v>
      </c>
      <c r="B9" t="s">
        <v>117</v>
      </c>
      <c r="C9" t="s">
        <v>18</v>
      </c>
      <c r="D9" t="s">
        <v>102</v>
      </c>
      <c r="E9">
        <v>4.0999999999999996</v>
      </c>
    </row>
    <row r="10" spans="1:11">
      <c r="A10" t="s">
        <v>118</v>
      </c>
      <c r="B10" t="s">
        <v>119</v>
      </c>
      <c r="C10" t="s">
        <v>106</v>
      </c>
      <c r="D10" t="s">
        <v>107</v>
      </c>
      <c r="E10">
        <v>4.5</v>
      </c>
    </row>
    <row r="11" spans="1:11">
      <c r="A11" t="s">
        <v>120</v>
      </c>
      <c r="B11" t="s">
        <v>121</v>
      </c>
      <c r="C11" t="s">
        <v>11</v>
      </c>
      <c r="D11" t="s">
        <v>97</v>
      </c>
      <c r="E11">
        <v>4.7</v>
      </c>
    </row>
    <row r="12" spans="1:11">
      <c r="A12" t="s">
        <v>122</v>
      </c>
      <c r="B12" t="s">
        <v>123</v>
      </c>
      <c r="C12" t="s">
        <v>124</v>
      </c>
      <c r="D12" t="s">
        <v>102</v>
      </c>
      <c r="E12">
        <v>4.4000000000000004</v>
      </c>
    </row>
    <row r="13" spans="1:11">
      <c r="A13" t="s">
        <v>125</v>
      </c>
      <c r="B13" t="s">
        <v>126</v>
      </c>
      <c r="C13" t="s">
        <v>106</v>
      </c>
      <c r="D13" t="s">
        <v>107</v>
      </c>
      <c r="E13">
        <v>4.8</v>
      </c>
    </row>
    <row r="14" spans="1:11">
      <c r="A14" t="s">
        <v>127</v>
      </c>
      <c r="B14" t="s">
        <v>128</v>
      </c>
      <c r="C14" t="s">
        <v>24</v>
      </c>
      <c r="D14" t="s">
        <v>97</v>
      </c>
      <c r="E14">
        <v>4.5999999999999996</v>
      </c>
    </row>
    <row r="15" spans="1:11">
      <c r="A15" t="s">
        <v>129</v>
      </c>
      <c r="B15" t="s">
        <v>130</v>
      </c>
      <c r="C15" t="s">
        <v>27</v>
      </c>
      <c r="D15" t="s">
        <v>102</v>
      </c>
      <c r="E15">
        <v>4.5</v>
      </c>
    </row>
    <row r="16" spans="1:11">
      <c r="A16" t="s">
        <v>131</v>
      </c>
      <c r="B16" t="s">
        <v>132</v>
      </c>
      <c r="C16" t="s">
        <v>15</v>
      </c>
      <c r="D16" t="s">
        <v>107</v>
      </c>
      <c r="E16">
        <v>4.7</v>
      </c>
    </row>
    <row r="17" spans="1:5">
      <c r="A17" t="s">
        <v>133</v>
      </c>
      <c r="B17" t="s">
        <v>134</v>
      </c>
      <c r="C17" t="s">
        <v>18</v>
      </c>
      <c r="D17" t="s">
        <v>97</v>
      </c>
      <c r="E17">
        <v>4.3</v>
      </c>
    </row>
    <row r="18" spans="1:5">
      <c r="A18" t="s">
        <v>135</v>
      </c>
      <c r="B18" t="s">
        <v>136</v>
      </c>
      <c r="C18" t="s">
        <v>11</v>
      </c>
      <c r="D18" t="s">
        <v>102</v>
      </c>
      <c r="E18">
        <v>4.4000000000000004</v>
      </c>
    </row>
    <row r="19" spans="1:5">
      <c r="A19" t="s">
        <v>137</v>
      </c>
      <c r="B19" t="s">
        <v>138</v>
      </c>
      <c r="C19" t="s">
        <v>30</v>
      </c>
      <c r="D19" t="s">
        <v>107</v>
      </c>
      <c r="E19">
        <v>4.2</v>
      </c>
    </row>
    <row r="20" spans="1:5">
      <c r="A20" t="s">
        <v>139</v>
      </c>
      <c r="B20" t="s">
        <v>140</v>
      </c>
      <c r="C20" t="s">
        <v>106</v>
      </c>
      <c r="D20" t="s">
        <v>97</v>
      </c>
      <c r="E20">
        <v>4.5999999999999996</v>
      </c>
    </row>
    <row r="21" spans="1:5">
      <c r="A21" t="s">
        <v>141</v>
      </c>
      <c r="B21" t="s">
        <v>142</v>
      </c>
      <c r="C21" t="s">
        <v>24</v>
      </c>
      <c r="D21" t="s">
        <v>102</v>
      </c>
      <c r="E21">
        <v>4.5</v>
      </c>
    </row>
    <row r="22" spans="1:5">
      <c r="A22" t="s">
        <v>143</v>
      </c>
      <c r="B22" t="s">
        <v>144</v>
      </c>
      <c r="C22" t="s">
        <v>27</v>
      </c>
      <c r="D22" t="s">
        <v>107</v>
      </c>
      <c r="E22">
        <v>4.7</v>
      </c>
    </row>
    <row r="23" spans="1:5">
      <c r="A23" t="s">
        <v>145</v>
      </c>
      <c r="B23" t="s">
        <v>146</v>
      </c>
      <c r="C23" t="s">
        <v>18</v>
      </c>
      <c r="D23" t="s">
        <v>97</v>
      </c>
      <c r="E23">
        <v>4.3</v>
      </c>
    </row>
    <row r="24" spans="1:5">
      <c r="A24" t="s">
        <v>147</v>
      </c>
      <c r="B24" t="s">
        <v>148</v>
      </c>
      <c r="C24" t="s">
        <v>15</v>
      </c>
      <c r="D24" t="s">
        <v>102</v>
      </c>
      <c r="E24">
        <v>4.8</v>
      </c>
    </row>
    <row r="25" spans="1:5">
      <c r="A25" t="s">
        <v>149</v>
      </c>
      <c r="B25" t="s">
        <v>150</v>
      </c>
      <c r="C25" t="s">
        <v>11</v>
      </c>
      <c r="D25" t="s">
        <v>107</v>
      </c>
      <c r="E25">
        <v>4.5999999999999996</v>
      </c>
    </row>
    <row r="26" spans="1:5">
      <c r="A26" t="s">
        <v>151</v>
      </c>
      <c r="B26" t="s">
        <v>152</v>
      </c>
      <c r="C26" t="s">
        <v>106</v>
      </c>
      <c r="D26" t="s">
        <v>97</v>
      </c>
      <c r="E26">
        <v>4.5</v>
      </c>
    </row>
    <row r="27" spans="1:5">
      <c r="A27" t="s">
        <v>153</v>
      </c>
      <c r="B27" t="s">
        <v>154</v>
      </c>
      <c r="C27" t="s">
        <v>124</v>
      </c>
      <c r="D27" t="s">
        <v>102</v>
      </c>
      <c r="E27">
        <v>4.4000000000000004</v>
      </c>
    </row>
    <row r="28" spans="1:5">
      <c r="A28" t="s">
        <v>155</v>
      </c>
      <c r="B28" t="s">
        <v>156</v>
      </c>
      <c r="C28" t="s">
        <v>24</v>
      </c>
      <c r="D28" t="s">
        <v>107</v>
      </c>
      <c r="E28">
        <v>4.7</v>
      </c>
    </row>
    <row r="29" spans="1:5">
      <c r="A29" t="s">
        <v>157</v>
      </c>
      <c r="B29" t="s">
        <v>158</v>
      </c>
      <c r="C29" t="s">
        <v>27</v>
      </c>
      <c r="D29" t="s">
        <v>97</v>
      </c>
      <c r="E29">
        <v>4.5</v>
      </c>
    </row>
    <row r="30" spans="1:5">
      <c r="A30" t="s">
        <v>159</v>
      </c>
      <c r="B30" t="s">
        <v>160</v>
      </c>
      <c r="C30" t="s">
        <v>30</v>
      </c>
      <c r="D30" t="s">
        <v>102</v>
      </c>
      <c r="E30">
        <v>4.2</v>
      </c>
    </row>
    <row r="31" spans="1:5">
      <c r="A31" t="s">
        <v>161</v>
      </c>
      <c r="B31" t="s">
        <v>162</v>
      </c>
      <c r="C31" t="s">
        <v>15</v>
      </c>
      <c r="D31" t="s">
        <v>107</v>
      </c>
      <c r="E31">
        <v>4.8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986D3-E369-45D4-8B7C-FF2D665DA794}">
  <dimension ref="A1:C61"/>
  <sheetViews>
    <sheetView workbookViewId="0">
      <selection activeCell="F12" sqref="F12"/>
    </sheetView>
  </sheetViews>
  <sheetFormatPr defaultRowHeight="15"/>
  <cols>
    <col min="1" max="1" width="11.28515625" customWidth="1"/>
    <col min="3" max="3" width="9.7109375" customWidth="1"/>
  </cols>
  <sheetData>
    <row r="1" spans="1:3">
      <c r="A1" t="s">
        <v>163</v>
      </c>
      <c r="B1" t="s">
        <v>89</v>
      </c>
      <c r="C1" t="s">
        <v>164</v>
      </c>
    </row>
    <row r="2" spans="1:3">
      <c r="A2" t="s">
        <v>165</v>
      </c>
      <c r="B2" t="s">
        <v>95</v>
      </c>
      <c r="C2" t="s">
        <v>8</v>
      </c>
    </row>
    <row r="3" spans="1:3">
      <c r="A3" t="s">
        <v>166</v>
      </c>
      <c r="B3" t="s">
        <v>95</v>
      </c>
      <c r="C3" t="s">
        <v>8</v>
      </c>
    </row>
    <row r="4" spans="1:3">
      <c r="A4" t="s">
        <v>167</v>
      </c>
      <c r="B4" t="s">
        <v>100</v>
      </c>
      <c r="C4" t="s">
        <v>12</v>
      </c>
    </row>
    <row r="5" spans="1:3">
      <c r="A5" t="s">
        <v>168</v>
      </c>
      <c r="B5" t="s">
        <v>100</v>
      </c>
      <c r="C5" t="s">
        <v>12</v>
      </c>
    </row>
    <row r="6" spans="1:3">
      <c r="A6" t="s">
        <v>169</v>
      </c>
      <c r="B6" t="s">
        <v>104</v>
      </c>
      <c r="C6" t="s">
        <v>16</v>
      </c>
    </row>
    <row r="7" spans="1:3">
      <c r="A7" t="s">
        <v>170</v>
      </c>
      <c r="B7" t="s">
        <v>104</v>
      </c>
      <c r="C7" t="s">
        <v>16</v>
      </c>
    </row>
    <row r="8" spans="1:3">
      <c r="A8" t="s">
        <v>171</v>
      </c>
      <c r="B8" t="s">
        <v>108</v>
      </c>
      <c r="C8" t="s">
        <v>19</v>
      </c>
    </row>
    <row r="9" spans="1:3">
      <c r="A9" t="s">
        <v>172</v>
      </c>
      <c r="B9" t="s">
        <v>108</v>
      </c>
      <c r="C9" t="s">
        <v>19</v>
      </c>
    </row>
    <row r="10" spans="1:3">
      <c r="A10" t="s">
        <v>173</v>
      </c>
      <c r="B10" t="s">
        <v>110</v>
      </c>
      <c r="C10" t="s">
        <v>22</v>
      </c>
    </row>
    <row r="11" spans="1:3">
      <c r="A11" t="s">
        <v>174</v>
      </c>
      <c r="B11" t="s">
        <v>110</v>
      </c>
      <c r="C11" t="s">
        <v>22</v>
      </c>
    </row>
    <row r="12" spans="1:3">
      <c r="A12" t="s">
        <v>175</v>
      </c>
      <c r="B12" t="s">
        <v>113</v>
      </c>
      <c r="C12" t="s">
        <v>25</v>
      </c>
    </row>
    <row r="13" spans="1:3">
      <c r="A13" t="s">
        <v>176</v>
      </c>
      <c r="B13" t="s">
        <v>113</v>
      </c>
      <c r="C13" t="s">
        <v>25</v>
      </c>
    </row>
    <row r="14" spans="1:3">
      <c r="A14" t="s">
        <v>177</v>
      </c>
      <c r="B14" t="s">
        <v>115</v>
      </c>
      <c r="C14" t="s">
        <v>28</v>
      </c>
    </row>
    <row r="15" spans="1:3">
      <c r="A15" t="s">
        <v>178</v>
      </c>
      <c r="B15" t="s">
        <v>115</v>
      </c>
      <c r="C15" t="s">
        <v>28</v>
      </c>
    </row>
    <row r="16" spans="1:3">
      <c r="A16" t="s">
        <v>179</v>
      </c>
      <c r="B16" t="s">
        <v>116</v>
      </c>
      <c r="C16" t="s">
        <v>31</v>
      </c>
    </row>
    <row r="17" spans="1:3">
      <c r="A17" t="s">
        <v>180</v>
      </c>
      <c r="B17" t="s">
        <v>116</v>
      </c>
      <c r="C17" t="s">
        <v>31</v>
      </c>
    </row>
    <row r="18" spans="1:3">
      <c r="A18" t="s">
        <v>181</v>
      </c>
      <c r="B18" t="s">
        <v>118</v>
      </c>
      <c r="C18" t="s">
        <v>33</v>
      </c>
    </row>
    <row r="19" spans="1:3">
      <c r="A19" t="s">
        <v>182</v>
      </c>
      <c r="B19" t="s">
        <v>118</v>
      </c>
      <c r="C19" t="s">
        <v>33</v>
      </c>
    </row>
    <row r="20" spans="1:3">
      <c r="A20" t="s">
        <v>183</v>
      </c>
      <c r="B20" t="s">
        <v>120</v>
      </c>
      <c r="C20" t="s">
        <v>35</v>
      </c>
    </row>
    <row r="21" spans="1:3">
      <c r="A21" t="s">
        <v>184</v>
      </c>
      <c r="B21" t="s">
        <v>120</v>
      </c>
      <c r="C21" t="s">
        <v>35</v>
      </c>
    </row>
    <row r="22" spans="1:3">
      <c r="A22" t="s">
        <v>185</v>
      </c>
      <c r="B22" t="s">
        <v>122</v>
      </c>
      <c r="C22" t="s">
        <v>37</v>
      </c>
    </row>
    <row r="23" spans="1:3">
      <c r="A23" t="s">
        <v>186</v>
      </c>
      <c r="B23" t="s">
        <v>122</v>
      </c>
      <c r="C23" t="s">
        <v>37</v>
      </c>
    </row>
    <row r="24" spans="1:3">
      <c r="A24" t="s">
        <v>187</v>
      </c>
      <c r="B24" t="s">
        <v>125</v>
      </c>
      <c r="C24" t="s">
        <v>39</v>
      </c>
    </row>
    <row r="25" spans="1:3">
      <c r="A25" t="s">
        <v>188</v>
      </c>
      <c r="B25" t="s">
        <v>125</v>
      </c>
      <c r="C25" t="s">
        <v>39</v>
      </c>
    </row>
    <row r="26" spans="1:3">
      <c r="A26" t="s">
        <v>189</v>
      </c>
      <c r="B26" t="s">
        <v>127</v>
      </c>
      <c r="C26" t="s">
        <v>41</v>
      </c>
    </row>
    <row r="27" spans="1:3">
      <c r="A27" t="s">
        <v>190</v>
      </c>
      <c r="B27" t="s">
        <v>127</v>
      </c>
      <c r="C27" t="s">
        <v>41</v>
      </c>
    </row>
    <row r="28" spans="1:3">
      <c r="A28" t="s">
        <v>191</v>
      </c>
      <c r="B28" t="s">
        <v>129</v>
      </c>
      <c r="C28" t="s">
        <v>43</v>
      </c>
    </row>
    <row r="29" spans="1:3">
      <c r="A29" t="s">
        <v>192</v>
      </c>
      <c r="B29" t="s">
        <v>129</v>
      </c>
      <c r="C29" t="s">
        <v>43</v>
      </c>
    </row>
    <row r="30" spans="1:3">
      <c r="A30" t="s">
        <v>193</v>
      </c>
      <c r="B30" t="s">
        <v>131</v>
      </c>
      <c r="C30" t="s">
        <v>45</v>
      </c>
    </row>
    <row r="31" spans="1:3">
      <c r="A31" t="s">
        <v>194</v>
      </c>
      <c r="B31" t="s">
        <v>131</v>
      </c>
      <c r="C31" t="s">
        <v>45</v>
      </c>
    </row>
    <row r="32" spans="1:3">
      <c r="A32" t="s">
        <v>195</v>
      </c>
      <c r="B32" t="s">
        <v>133</v>
      </c>
      <c r="C32" t="s">
        <v>47</v>
      </c>
    </row>
    <row r="33" spans="1:3">
      <c r="A33" t="s">
        <v>196</v>
      </c>
      <c r="B33" t="s">
        <v>133</v>
      </c>
      <c r="C33" t="s">
        <v>47</v>
      </c>
    </row>
    <row r="34" spans="1:3">
      <c r="A34" t="s">
        <v>197</v>
      </c>
      <c r="B34" t="s">
        <v>135</v>
      </c>
      <c r="C34" t="s">
        <v>49</v>
      </c>
    </row>
    <row r="35" spans="1:3">
      <c r="A35" t="s">
        <v>198</v>
      </c>
      <c r="B35" t="s">
        <v>135</v>
      </c>
      <c r="C35" t="s">
        <v>49</v>
      </c>
    </row>
    <row r="36" spans="1:3">
      <c r="A36" t="s">
        <v>199</v>
      </c>
      <c r="B36" t="s">
        <v>137</v>
      </c>
      <c r="C36" t="s">
        <v>51</v>
      </c>
    </row>
    <row r="37" spans="1:3">
      <c r="A37" t="s">
        <v>200</v>
      </c>
      <c r="B37" t="s">
        <v>139</v>
      </c>
      <c r="C37" t="s">
        <v>51</v>
      </c>
    </row>
    <row r="38" spans="1:3">
      <c r="A38" t="s">
        <v>201</v>
      </c>
      <c r="B38" t="s">
        <v>139</v>
      </c>
      <c r="C38" t="s">
        <v>53</v>
      </c>
    </row>
    <row r="39" spans="1:3">
      <c r="A39" t="s">
        <v>202</v>
      </c>
      <c r="B39" t="s">
        <v>141</v>
      </c>
      <c r="C39" t="s">
        <v>55</v>
      </c>
    </row>
    <row r="40" spans="1:3">
      <c r="A40" t="s">
        <v>203</v>
      </c>
      <c r="B40" t="s">
        <v>141</v>
      </c>
      <c r="C40" t="s">
        <v>55</v>
      </c>
    </row>
    <row r="41" spans="1:3">
      <c r="A41" t="s">
        <v>204</v>
      </c>
      <c r="B41" t="s">
        <v>143</v>
      </c>
      <c r="C41" t="s">
        <v>57</v>
      </c>
    </row>
    <row r="42" spans="1:3">
      <c r="A42" t="s">
        <v>205</v>
      </c>
      <c r="B42" t="s">
        <v>143</v>
      </c>
      <c r="C42" t="s">
        <v>57</v>
      </c>
    </row>
    <row r="43" spans="1:3">
      <c r="A43" t="s">
        <v>206</v>
      </c>
      <c r="B43" t="s">
        <v>145</v>
      </c>
      <c r="C43" t="s">
        <v>59</v>
      </c>
    </row>
    <row r="44" spans="1:3">
      <c r="A44" t="s">
        <v>207</v>
      </c>
      <c r="B44" t="s">
        <v>145</v>
      </c>
      <c r="C44" t="s">
        <v>59</v>
      </c>
    </row>
    <row r="45" spans="1:3">
      <c r="A45" t="s">
        <v>208</v>
      </c>
      <c r="B45" t="s">
        <v>147</v>
      </c>
      <c r="C45" t="s">
        <v>61</v>
      </c>
    </row>
    <row r="46" spans="1:3">
      <c r="A46" t="s">
        <v>209</v>
      </c>
      <c r="B46" t="s">
        <v>147</v>
      </c>
      <c r="C46" t="s">
        <v>61</v>
      </c>
    </row>
    <row r="47" spans="1:3">
      <c r="A47" t="s">
        <v>210</v>
      </c>
      <c r="B47" t="s">
        <v>149</v>
      </c>
      <c r="C47" t="s">
        <v>63</v>
      </c>
    </row>
    <row r="48" spans="1:3">
      <c r="A48" t="s">
        <v>211</v>
      </c>
      <c r="B48" t="s">
        <v>149</v>
      </c>
      <c r="C48" t="s">
        <v>63</v>
      </c>
    </row>
    <row r="49" spans="1:3">
      <c r="A49" t="s">
        <v>212</v>
      </c>
      <c r="B49" t="s">
        <v>151</v>
      </c>
      <c r="C49" t="s">
        <v>65</v>
      </c>
    </row>
    <row r="50" spans="1:3">
      <c r="A50" t="s">
        <v>213</v>
      </c>
      <c r="B50" t="s">
        <v>151</v>
      </c>
      <c r="C50" t="s">
        <v>65</v>
      </c>
    </row>
    <row r="51" spans="1:3">
      <c r="A51" t="s">
        <v>214</v>
      </c>
      <c r="B51" t="s">
        <v>153</v>
      </c>
      <c r="C51" t="s">
        <v>67</v>
      </c>
    </row>
    <row r="52" spans="1:3">
      <c r="A52" t="s">
        <v>215</v>
      </c>
      <c r="B52" t="s">
        <v>153</v>
      </c>
      <c r="C52" t="s">
        <v>67</v>
      </c>
    </row>
    <row r="53" spans="1:3">
      <c r="A53" t="s">
        <v>216</v>
      </c>
      <c r="B53" t="s">
        <v>155</v>
      </c>
      <c r="C53" t="s">
        <v>69</v>
      </c>
    </row>
    <row r="54" spans="1:3">
      <c r="A54" t="s">
        <v>217</v>
      </c>
      <c r="B54" t="s">
        <v>155</v>
      </c>
      <c r="C54" t="s">
        <v>69</v>
      </c>
    </row>
    <row r="55" spans="1:3">
      <c r="A55" t="s">
        <v>218</v>
      </c>
      <c r="B55" t="s">
        <v>157</v>
      </c>
      <c r="C55" t="s">
        <v>71</v>
      </c>
    </row>
    <row r="56" spans="1:3">
      <c r="A56" t="s">
        <v>219</v>
      </c>
      <c r="B56" t="s">
        <v>157</v>
      </c>
      <c r="C56" t="s">
        <v>71</v>
      </c>
    </row>
    <row r="57" spans="1:3">
      <c r="A57" t="s">
        <v>220</v>
      </c>
      <c r="B57" t="s">
        <v>159</v>
      </c>
      <c r="C57" t="s">
        <v>73</v>
      </c>
    </row>
    <row r="58" spans="1:3">
      <c r="A58" t="s">
        <v>221</v>
      </c>
      <c r="B58" t="s">
        <v>159</v>
      </c>
      <c r="C58" t="s">
        <v>73</v>
      </c>
    </row>
    <row r="59" spans="1:3">
      <c r="A59" t="s">
        <v>222</v>
      </c>
      <c r="B59" t="s">
        <v>161</v>
      </c>
      <c r="C59" t="s">
        <v>76</v>
      </c>
    </row>
    <row r="60" spans="1:3">
      <c r="A60" t="s">
        <v>223</v>
      </c>
      <c r="B60" t="s">
        <v>161</v>
      </c>
      <c r="C60" t="s">
        <v>76</v>
      </c>
    </row>
    <row r="61" spans="1:3">
      <c r="A61" t="s">
        <v>224</v>
      </c>
      <c r="B61" t="s">
        <v>225</v>
      </c>
      <c r="C61" t="s">
        <v>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E83A-C436-47D5-ADB2-6841700C6F67}">
  <dimension ref="A1:M61"/>
  <sheetViews>
    <sheetView topLeftCell="C37" workbookViewId="0">
      <selection activeCell="N5" sqref="N5"/>
    </sheetView>
  </sheetViews>
  <sheetFormatPr defaultRowHeight="15"/>
  <cols>
    <col min="1" max="1" width="12.7109375" customWidth="1"/>
    <col min="3" max="3" width="24.7109375" customWidth="1"/>
    <col min="4" max="4" width="16.140625" customWidth="1"/>
    <col min="5" max="5" width="11.5703125" customWidth="1"/>
    <col min="6" max="6" width="12.28515625" customWidth="1"/>
    <col min="7" max="7" width="9.5703125" customWidth="1"/>
    <col min="8" max="8" width="14.42578125" customWidth="1"/>
    <col min="11" max="11" width="16" customWidth="1"/>
    <col min="12" max="12" width="17" customWidth="1"/>
    <col min="13" max="13" width="13.42578125" customWidth="1"/>
  </cols>
  <sheetData>
    <row r="1" spans="1:13">
      <c r="A1" t="s">
        <v>227</v>
      </c>
      <c r="B1" t="s">
        <v>89</v>
      </c>
      <c r="C1" t="s">
        <v>228</v>
      </c>
      <c r="D1" t="s">
        <v>91</v>
      </c>
      <c r="E1" t="s">
        <v>229</v>
      </c>
      <c r="F1" t="s">
        <v>93</v>
      </c>
      <c r="G1" t="s">
        <v>164</v>
      </c>
      <c r="H1" t="s">
        <v>230</v>
      </c>
      <c r="I1" t="s">
        <v>3</v>
      </c>
      <c r="J1" t="s">
        <v>231</v>
      </c>
      <c r="K1" t="s">
        <v>4</v>
      </c>
      <c r="L1" t="s">
        <v>232</v>
      </c>
      <c r="M1" t="s">
        <v>6</v>
      </c>
    </row>
    <row r="2" spans="1:13">
      <c r="A2" t="str">
        <f>Sheet3!A2</f>
        <v>TR001</v>
      </c>
      <c r="B2" t="str">
        <f>Sheet3!B2</f>
        <v>C001</v>
      </c>
      <c r="C2" t="str">
        <f>_xlfn.XLOOKUP(B2,Sheet2!$A$2:$A$31,Sheet2!$B$2:$B$31,"Not Found")</f>
        <v>Introducaion to Data Science</v>
      </c>
      <c r="D2" t="str">
        <f>_xlfn.XLOOKUP(B2,Sheet2!$A$2:$A$31,Sheet2!$C$2:$C$31,"Not Found")</f>
        <v>Data Science</v>
      </c>
      <c r="E2" t="str">
        <f>_xlfn.XLOOKUP(B2,Sheet2!$A$2:$A$31,Sheet2!$D$2:$D$31,"Not Found")</f>
        <v>Beginner</v>
      </c>
      <c r="F2">
        <f>_xlfn.XLOOKUP(B2,Sheet2!$A$2:$A$31,Sheet2!$E$2:$E$31,"Not Found")</f>
        <v>4.5999999999999996</v>
      </c>
      <c r="G2" t="str">
        <f>Sheet3!C2</f>
        <v>T001</v>
      </c>
      <c r="H2" t="str">
        <f>_xlfn.XLOOKUP(G2,Sheet1!$A$2:$A$31,Sheet1!$B$2:$B$31,"Not Found")</f>
        <v>Aarav Sharma</v>
      </c>
      <c r="I2" t="str">
        <f>_xlfn.XLOOKUP(G2,Sheet1!$A$2:$A$31,Sheet1!$D$2:$D$31,"Not Found")</f>
        <v xml:space="preserve">Male </v>
      </c>
      <c r="J2">
        <f>_xlfn.XLOOKUP(G2,Sheet1!$A$2:$A$31,Sheet1!$C$2:$C$31,"Not Found")</f>
        <v>51</v>
      </c>
      <c r="K2" t="str">
        <f>_xlfn.XLOOKUP(G2,Sheet1!$A$2:$A$31,Sheet1!$E$2:$E$31,"Not Found")</f>
        <v>Data Science</v>
      </c>
      <c r="L2">
        <f>_xlfn.XLOOKUP(G2,Sheet1!$A$2:$A$31,Sheet1!$F$2:$F$31,"Not Found")</f>
        <v>6</v>
      </c>
      <c r="M2">
        <f>_xlfn.XLOOKUP(G2,Sheet1!$A$2:$A$31,Sheet1!$G$2:$G$31,"Not Found")</f>
        <v>3.5</v>
      </c>
    </row>
    <row r="3" spans="1:13">
      <c r="A3" t="str">
        <f>Sheet3!A3</f>
        <v>TR002</v>
      </c>
      <c r="B3" t="str">
        <f>Sheet3!B3</f>
        <v>C001</v>
      </c>
      <c r="C3" t="str">
        <f>_xlfn.XLOOKUP(B3,Sheet2!$A$2:$A$31,Sheet2!$B$2:$B$31,"Not Found")</f>
        <v>Introducaion to Data Science</v>
      </c>
      <c r="D3" t="str">
        <f>_xlfn.XLOOKUP(B3,Sheet2!$A$2:$A$31,Sheet2!$C$2:$C$31,"Not Found")</f>
        <v>Data Science</v>
      </c>
      <c r="E3" t="str">
        <f>_xlfn.XLOOKUP(B3,Sheet2!$A$2:$A$31,Sheet2!$D$2:$D$31,"Not Found")</f>
        <v>Beginner</v>
      </c>
      <c r="F3">
        <f>_xlfn.XLOOKUP(B3,Sheet2!$A$2:$A$31,Sheet2!$E$2:$E$31,"Not Found")</f>
        <v>4.5999999999999996</v>
      </c>
      <c r="G3" t="str">
        <f>Sheet3!C3</f>
        <v>T001</v>
      </c>
      <c r="H3" t="str">
        <f>_xlfn.XLOOKUP(G3,Sheet1!$A$2:$A$31,Sheet1!$B$2:$B$31,"Not Found")</f>
        <v>Aarav Sharma</v>
      </c>
      <c r="I3" t="str">
        <f>_xlfn.XLOOKUP(G3,Sheet1!$A$2:$A$31,Sheet1!$D$2:$D$31,"Not Found")</f>
        <v xml:space="preserve">Male </v>
      </c>
      <c r="J3">
        <f>_xlfn.XLOOKUP(G3,Sheet1!$A$2:$A$31,Sheet1!$C$2:$C$31,"Not Found")</f>
        <v>51</v>
      </c>
      <c r="K3" t="str">
        <f>_xlfn.XLOOKUP(G3,Sheet1!$A$2:$A$31,Sheet1!$E$2:$E$31,"Not Found")</f>
        <v>Data Science</v>
      </c>
      <c r="L3">
        <f>_xlfn.XLOOKUP(G3,Sheet1!$A$2:$A$31,Sheet1!$F$2:$F$31,"Not Found")</f>
        <v>6</v>
      </c>
      <c r="M3">
        <f>_xlfn.XLOOKUP(G3,Sheet1!$A$2:$A$31,Sheet1!$G$2:$G$31,"Not Found")</f>
        <v>3.5</v>
      </c>
    </row>
    <row r="4" spans="1:13">
      <c r="A4" t="str">
        <f>Sheet3!A4</f>
        <v>TR003</v>
      </c>
      <c r="B4" t="str">
        <f>Sheet3!B4</f>
        <v>C002</v>
      </c>
      <c r="C4" t="str">
        <f>_xlfn.XLOOKUP(B4,Sheet2!$A$2:$A$31,Sheet2!$B$2:$B$31,"Not Found")</f>
        <v>Marketing Strategy</v>
      </c>
      <c r="D4" t="str">
        <f>_xlfn.XLOOKUP(B4,Sheet2!$A$2:$A$31,Sheet2!$C$2:$C$31,"Not Found")</f>
        <v>Marketing</v>
      </c>
      <c r="E4" t="str">
        <f>_xlfn.XLOOKUP(B4,Sheet2!$A$2:$A$31,Sheet2!$D$2:$D$31,"Not Found")</f>
        <v>Intermediate</v>
      </c>
      <c r="F4">
        <f>_xlfn.XLOOKUP(B4,Sheet2!$A$2:$A$31,Sheet2!$E$2:$E$31,"Not Found")</f>
        <v>4.3</v>
      </c>
      <c r="G4" t="str">
        <f>Sheet3!C4</f>
        <v>T002</v>
      </c>
      <c r="H4" t="str">
        <f>_xlfn.XLOOKUP(G4,Sheet1!$A$2:$A$31,Sheet1!$B$2:$B$31,"Not Found")</f>
        <v>Priya Mehta</v>
      </c>
      <c r="I4" t="str">
        <f>_xlfn.XLOOKUP(G4,Sheet1!$A$2:$A$31,Sheet1!$D$2:$D$31,"Not Found")</f>
        <v>Female</v>
      </c>
      <c r="J4">
        <f>_xlfn.XLOOKUP(G4,Sheet1!$A$2:$A$31,Sheet1!$C$2:$C$31,"Not Found")</f>
        <v>37</v>
      </c>
      <c r="K4" t="str">
        <f>_xlfn.XLOOKUP(G4,Sheet1!$A$2:$A$31,Sheet1!$E$2:$E$31,"Not Found")</f>
        <v>Business Analytics</v>
      </c>
      <c r="L4">
        <f>_xlfn.XLOOKUP(G4,Sheet1!$A$2:$A$31,Sheet1!$F$2:$F$31,"Not Found")</f>
        <v>8</v>
      </c>
      <c r="M4">
        <f>_xlfn.XLOOKUP(G4,Sheet1!$A$2:$A$31,Sheet1!$G$2:$G$31,"Not Found")</f>
        <v>3.8</v>
      </c>
    </row>
    <row r="5" spans="1:13">
      <c r="A5" t="str">
        <f>Sheet3!A5</f>
        <v>TR004</v>
      </c>
      <c r="B5" t="str">
        <f>Sheet3!B5</f>
        <v>C002</v>
      </c>
      <c r="C5" t="str">
        <f>_xlfn.XLOOKUP(B5,Sheet2!$A$2:$A$31,Sheet2!$B$2:$B$31,"Not Found")</f>
        <v>Marketing Strategy</v>
      </c>
      <c r="D5" t="str">
        <f>_xlfn.XLOOKUP(B5,Sheet2!$A$2:$A$31,Sheet2!$C$2:$C$31,"Not Found")</f>
        <v>Marketing</v>
      </c>
      <c r="E5" t="str">
        <f>_xlfn.XLOOKUP(B5,Sheet2!$A$2:$A$31,Sheet2!$D$2:$D$31,"Not Found")</f>
        <v>Intermediate</v>
      </c>
      <c r="F5">
        <f>_xlfn.XLOOKUP(B5,Sheet2!$A$2:$A$31,Sheet2!$E$2:$E$31,"Not Found")</f>
        <v>4.3</v>
      </c>
      <c r="G5" t="str">
        <f>Sheet3!C5</f>
        <v>T002</v>
      </c>
      <c r="H5" t="str">
        <f>_xlfn.XLOOKUP(G5,Sheet1!$A$2:$A$31,Sheet1!$B$2:$B$31,"Not Found")</f>
        <v>Priya Mehta</v>
      </c>
      <c r="I5" t="str">
        <f>_xlfn.XLOOKUP(G5,Sheet1!$A$2:$A$31,Sheet1!$D$2:$D$31,"Not Found")</f>
        <v>Female</v>
      </c>
      <c r="J5">
        <f>_xlfn.XLOOKUP(G5,Sheet1!$A$2:$A$31,Sheet1!$C$2:$C$31,"Not Found")</f>
        <v>37</v>
      </c>
      <c r="K5" t="str">
        <f>_xlfn.XLOOKUP(G5,Sheet1!$A$2:$A$31,Sheet1!$E$2:$E$31,"Not Found")</f>
        <v>Business Analytics</v>
      </c>
      <c r="L5">
        <f>_xlfn.XLOOKUP(G5,Sheet1!$A$2:$A$31,Sheet1!$F$2:$F$31,"Not Found")</f>
        <v>8</v>
      </c>
      <c r="M5">
        <f>_xlfn.XLOOKUP(G5,Sheet1!$A$2:$A$31,Sheet1!$G$2:$G$31,"Not Found")</f>
        <v>3.8</v>
      </c>
    </row>
    <row r="6" spans="1:13">
      <c r="A6" t="str">
        <f>Sheet3!A6</f>
        <v>TR005</v>
      </c>
      <c r="B6" t="str">
        <f>Sheet3!B6</f>
        <v>C003</v>
      </c>
      <c r="C6" t="str">
        <f>_xlfn.XLOOKUP(B6,Sheet2!$A$2:$A$31,Sheet2!$B$2:$B$31,"Not Found")</f>
        <v>Corporate Finance</v>
      </c>
      <c r="D6" t="str">
        <f>_xlfn.XLOOKUP(B6,Sheet2!$A$2:$A$31,Sheet2!$C$2:$C$31,"Not Found")</f>
        <v xml:space="preserve">Finance </v>
      </c>
      <c r="E6" t="str">
        <f>_xlfn.XLOOKUP(B6,Sheet2!$A$2:$A$31,Sheet2!$D$2:$D$31,"Not Found")</f>
        <v xml:space="preserve">Advanced </v>
      </c>
      <c r="F6">
        <f>_xlfn.XLOOKUP(B6,Sheet2!$A$2:$A$31,Sheet2!$E$2:$E$31,"Not Found")</f>
        <v>4.7</v>
      </c>
      <c r="G6" t="str">
        <f>Sheet3!C6</f>
        <v>T003</v>
      </c>
      <c r="H6" t="str">
        <f>_xlfn.XLOOKUP(G6,Sheet1!$A$2:$A$31,Sheet1!$B$2:$B$31,"Not Found")</f>
        <v>Rohan Kapoor</v>
      </c>
      <c r="I6" t="str">
        <f>_xlfn.XLOOKUP(G6,Sheet1!$A$2:$A$31,Sheet1!$D$2:$D$31,"Not Found")</f>
        <v xml:space="preserve">Male </v>
      </c>
      <c r="J6">
        <f>_xlfn.XLOOKUP(G6,Sheet1!$A$2:$A$31,Sheet1!$C$2:$C$31,"Not Found")</f>
        <v>45</v>
      </c>
      <c r="K6" t="str">
        <f>_xlfn.XLOOKUP(G6,Sheet1!$A$2:$A$31,Sheet1!$E$2:$E$31,"Not Found")</f>
        <v>Marketing</v>
      </c>
      <c r="L6">
        <f>_xlfn.XLOOKUP(G6,Sheet1!$A$2:$A$31,Sheet1!$F$2:$F$31,"Not Found")</f>
        <v>9</v>
      </c>
      <c r="M6">
        <f>_xlfn.XLOOKUP(G6,Sheet1!$A$2:$A$31,Sheet1!$G$2:$G$31,"Not Found")</f>
        <v>3.5</v>
      </c>
    </row>
    <row r="7" spans="1:13">
      <c r="A7" t="str">
        <f>Sheet3!A7</f>
        <v>TR006</v>
      </c>
      <c r="B7" t="str">
        <f>Sheet3!B7</f>
        <v>C003</v>
      </c>
      <c r="C7" t="str">
        <f>_xlfn.XLOOKUP(B7,Sheet2!$A$2:$A$31,Sheet2!$B$2:$B$31,"Not Found")</f>
        <v>Corporate Finance</v>
      </c>
      <c r="D7" t="str">
        <f>_xlfn.XLOOKUP(B7,Sheet2!$A$2:$A$31,Sheet2!$C$2:$C$31,"Not Found")</f>
        <v xml:space="preserve">Finance </v>
      </c>
      <c r="E7" t="str">
        <f>_xlfn.XLOOKUP(B7,Sheet2!$A$2:$A$31,Sheet2!$D$2:$D$31,"Not Found")</f>
        <v xml:space="preserve">Advanced </v>
      </c>
      <c r="F7">
        <f>_xlfn.XLOOKUP(B7,Sheet2!$A$2:$A$31,Sheet2!$E$2:$E$31,"Not Found")</f>
        <v>4.7</v>
      </c>
      <c r="G7" t="str">
        <f>Sheet3!C7</f>
        <v>T003</v>
      </c>
      <c r="H7" t="str">
        <f>_xlfn.XLOOKUP(G7,Sheet1!$A$2:$A$31,Sheet1!$B$2:$B$31,"Not Found")</f>
        <v>Rohan Kapoor</v>
      </c>
      <c r="I7" t="str">
        <f>_xlfn.XLOOKUP(G7,Sheet1!$A$2:$A$31,Sheet1!$D$2:$D$31,"Not Found")</f>
        <v xml:space="preserve">Male </v>
      </c>
      <c r="J7">
        <f>_xlfn.XLOOKUP(G7,Sheet1!$A$2:$A$31,Sheet1!$C$2:$C$31,"Not Found")</f>
        <v>45</v>
      </c>
      <c r="K7" t="str">
        <f>_xlfn.XLOOKUP(G7,Sheet1!$A$2:$A$31,Sheet1!$E$2:$E$31,"Not Found")</f>
        <v>Marketing</v>
      </c>
      <c r="L7">
        <f>_xlfn.XLOOKUP(G7,Sheet1!$A$2:$A$31,Sheet1!$F$2:$F$31,"Not Found")</f>
        <v>9</v>
      </c>
      <c r="M7">
        <f>_xlfn.XLOOKUP(G7,Sheet1!$A$2:$A$31,Sheet1!$G$2:$G$31,"Not Found")</f>
        <v>3.5</v>
      </c>
    </row>
    <row r="8" spans="1:13">
      <c r="A8" t="str">
        <f>Sheet3!A8</f>
        <v>TR007</v>
      </c>
      <c r="B8" t="str">
        <f>Sheet3!B8</f>
        <v>C004</v>
      </c>
      <c r="C8" t="str">
        <f>_xlfn.XLOOKUP(B8,Sheet2!$A$2:$A$31,Sheet2!$B$2:$B$31,"Not Found")</f>
        <v xml:space="preserve">Strategic Management </v>
      </c>
      <c r="D8" t="str">
        <f>_xlfn.XLOOKUP(B8,Sheet2!$A$2:$A$31,Sheet2!$C$2:$C$31,"Not Found")</f>
        <v>Management</v>
      </c>
      <c r="E8" t="str">
        <f>_xlfn.XLOOKUP(B8,Sheet2!$A$2:$A$31,Sheet2!$D$2:$D$31,"Not Found")</f>
        <v>Beginner</v>
      </c>
      <c r="F8">
        <f>_xlfn.XLOOKUP(B8,Sheet2!$A$2:$A$31,Sheet2!$E$2:$E$31,"Not Found")</f>
        <v>4.5</v>
      </c>
      <c r="G8" t="str">
        <f>Sheet3!C8</f>
        <v>T004</v>
      </c>
      <c r="H8" t="str">
        <f>_xlfn.XLOOKUP(G8,Sheet1!$A$2:$A$31,Sheet1!$B$2:$B$31,"Not Found")</f>
        <v>Ananya Singh</v>
      </c>
      <c r="I8" t="str">
        <f>_xlfn.XLOOKUP(G8,Sheet1!$A$2:$A$31,Sheet1!$D$2:$D$31,"Not Found")</f>
        <v>Female</v>
      </c>
      <c r="J8">
        <f>_xlfn.XLOOKUP(G8,Sheet1!$A$2:$A$31,Sheet1!$C$2:$C$31,"Not Found")</f>
        <v>47</v>
      </c>
      <c r="K8" t="str">
        <f>_xlfn.XLOOKUP(G8,Sheet1!$A$2:$A$31,Sheet1!$E$2:$E$31,"Not Found")</f>
        <v>Finance</v>
      </c>
      <c r="L8">
        <f>_xlfn.XLOOKUP(G8,Sheet1!$A$2:$A$31,Sheet1!$F$2:$F$31,"Not Found")</f>
        <v>22</v>
      </c>
      <c r="M8">
        <f>_xlfn.XLOOKUP(G8,Sheet1!$A$2:$A$31,Sheet1!$G$2:$G$31,"Not Found")</f>
        <v>4.2</v>
      </c>
    </row>
    <row r="9" spans="1:13">
      <c r="A9" t="str">
        <f>Sheet3!A9</f>
        <v>TR008</v>
      </c>
      <c r="B9" t="str">
        <f>Sheet3!B9</f>
        <v>C004</v>
      </c>
      <c r="C9" t="str">
        <f>_xlfn.XLOOKUP(B9,Sheet2!$A$2:$A$31,Sheet2!$B$2:$B$31,"Not Found")</f>
        <v xml:space="preserve">Strategic Management </v>
      </c>
      <c r="D9" t="str">
        <f>_xlfn.XLOOKUP(B9,Sheet2!$A$2:$A$31,Sheet2!$C$2:$C$31,"Not Found")</f>
        <v>Management</v>
      </c>
      <c r="E9" t="str">
        <f>_xlfn.XLOOKUP(B9,Sheet2!$A$2:$A$31,Sheet2!$D$2:$D$31,"Not Found")</f>
        <v>Beginner</v>
      </c>
      <c r="F9">
        <f>_xlfn.XLOOKUP(B9,Sheet2!$A$2:$A$31,Sheet2!$E$2:$E$31,"Not Found")</f>
        <v>4.5</v>
      </c>
      <c r="G9" t="str">
        <f>Sheet3!C9</f>
        <v>T004</v>
      </c>
      <c r="H9" t="str">
        <f>_xlfn.XLOOKUP(G9,Sheet1!$A$2:$A$31,Sheet1!$B$2:$B$31,"Not Found")</f>
        <v>Ananya Singh</v>
      </c>
      <c r="I9" t="str">
        <f>_xlfn.XLOOKUP(G9,Sheet1!$A$2:$A$31,Sheet1!$D$2:$D$31,"Not Found")</f>
        <v>Female</v>
      </c>
      <c r="J9">
        <f>_xlfn.XLOOKUP(G9,Sheet1!$A$2:$A$31,Sheet1!$C$2:$C$31,"Not Found")</f>
        <v>47</v>
      </c>
      <c r="K9" t="str">
        <f>_xlfn.XLOOKUP(G9,Sheet1!$A$2:$A$31,Sheet1!$E$2:$E$31,"Not Found")</f>
        <v>Finance</v>
      </c>
      <c r="L9">
        <f>_xlfn.XLOOKUP(G9,Sheet1!$A$2:$A$31,Sheet1!$F$2:$F$31,"Not Found")</f>
        <v>22</v>
      </c>
      <c r="M9">
        <f>_xlfn.XLOOKUP(G9,Sheet1!$A$2:$A$31,Sheet1!$G$2:$G$31,"Not Found")</f>
        <v>4.2</v>
      </c>
    </row>
    <row r="10" spans="1:13">
      <c r="A10" t="str">
        <f>Sheet3!A10</f>
        <v>TR009</v>
      </c>
      <c r="B10" t="str">
        <f>Sheet3!B10</f>
        <v>C005</v>
      </c>
      <c r="C10" t="str">
        <f>_xlfn.XLOOKUP(B10,Sheet2!$A$2:$A$31,Sheet2!$B$2:$B$31,"Not Found")</f>
        <v>Python Programming</v>
      </c>
      <c r="D10" t="str">
        <f>_xlfn.XLOOKUP(B10,Sheet2!$A$2:$A$31,Sheet2!$C$2:$C$31,"Not Found")</f>
        <v>Technology</v>
      </c>
      <c r="E10" t="str">
        <f>_xlfn.XLOOKUP(B10,Sheet2!$A$2:$A$31,Sheet2!$D$2:$D$31,"Not Found")</f>
        <v>Intermediate</v>
      </c>
      <c r="F10">
        <f>_xlfn.XLOOKUP(B10,Sheet2!$A$2:$A$31,Sheet2!$E$2:$E$31,"Not Found")</f>
        <v>4.4000000000000004</v>
      </c>
      <c r="G10" t="str">
        <f>Sheet3!C10</f>
        <v>T005</v>
      </c>
      <c r="H10" t="str">
        <f>_xlfn.XLOOKUP(G10,Sheet1!$A$2:$A$31,Sheet1!$B$2:$B$31,"Not Found")</f>
        <v xml:space="preserve">Arjun Verma </v>
      </c>
      <c r="I10" t="str">
        <f>_xlfn.XLOOKUP(G10,Sheet1!$A$2:$A$31,Sheet1!$D$2:$D$31,"Not Found")</f>
        <v xml:space="preserve">Male </v>
      </c>
      <c r="J10">
        <f>_xlfn.XLOOKUP(G10,Sheet1!$A$2:$A$31,Sheet1!$C$2:$C$31,"Not Found")</f>
        <v>51</v>
      </c>
      <c r="K10" t="str">
        <f>_xlfn.XLOOKUP(G10,Sheet1!$A$2:$A$31,Sheet1!$E$2:$E$31,"Not Found")</f>
        <v>Technology</v>
      </c>
      <c r="L10">
        <f>_xlfn.XLOOKUP(G10,Sheet1!$A$2:$A$31,Sheet1!$F$2:$F$31,"Not Found")</f>
        <v>19</v>
      </c>
      <c r="M10">
        <f>_xlfn.XLOOKUP(G10,Sheet1!$A$2:$A$31,Sheet1!$G$2:$G$31,"Not Found")</f>
        <v>4</v>
      </c>
    </row>
    <row r="11" spans="1:13">
      <c r="A11" t="str">
        <f>Sheet3!A11</f>
        <v>TR010</v>
      </c>
      <c r="B11" t="str">
        <f>Sheet3!B11</f>
        <v>C005</v>
      </c>
      <c r="C11" t="str">
        <f>_xlfn.XLOOKUP(B11,Sheet2!$A$2:$A$31,Sheet2!$B$2:$B$31,"Not Found")</f>
        <v>Python Programming</v>
      </c>
      <c r="D11" t="str">
        <f>_xlfn.XLOOKUP(B11,Sheet2!$A$2:$A$31,Sheet2!$C$2:$C$31,"Not Found")</f>
        <v>Technology</v>
      </c>
      <c r="E11" t="str">
        <f>_xlfn.XLOOKUP(B11,Sheet2!$A$2:$A$31,Sheet2!$D$2:$D$31,"Not Found")</f>
        <v>Intermediate</v>
      </c>
      <c r="F11">
        <f>_xlfn.XLOOKUP(B11,Sheet2!$A$2:$A$31,Sheet2!$E$2:$E$31,"Not Found")</f>
        <v>4.4000000000000004</v>
      </c>
      <c r="G11" t="str">
        <f>Sheet3!C11</f>
        <v>T005</v>
      </c>
      <c r="H11" t="str">
        <f>_xlfn.XLOOKUP(G11,Sheet1!$A$2:$A$31,Sheet1!$B$2:$B$31,"Not Found")</f>
        <v xml:space="preserve">Arjun Verma </v>
      </c>
      <c r="I11" t="str">
        <f>_xlfn.XLOOKUP(G11,Sheet1!$A$2:$A$31,Sheet1!$D$2:$D$31,"Not Found")</f>
        <v xml:space="preserve">Male </v>
      </c>
      <c r="J11">
        <f>_xlfn.XLOOKUP(G11,Sheet1!$A$2:$A$31,Sheet1!$C$2:$C$31,"Not Found")</f>
        <v>51</v>
      </c>
      <c r="K11" t="str">
        <f>_xlfn.XLOOKUP(G11,Sheet1!$A$2:$A$31,Sheet1!$E$2:$E$31,"Not Found")</f>
        <v>Technology</v>
      </c>
      <c r="L11">
        <f>_xlfn.XLOOKUP(G11,Sheet1!$A$2:$A$31,Sheet1!$F$2:$F$31,"Not Found")</f>
        <v>19</v>
      </c>
      <c r="M11">
        <f>_xlfn.XLOOKUP(G11,Sheet1!$A$2:$A$31,Sheet1!$G$2:$G$31,"Not Found")</f>
        <v>4</v>
      </c>
    </row>
    <row r="12" spans="1:13">
      <c r="A12" t="str">
        <f>Sheet3!A12</f>
        <v>TR011</v>
      </c>
      <c r="B12" t="str">
        <f>Sheet3!B12</f>
        <v>C006</v>
      </c>
      <c r="C12" t="str">
        <f>_xlfn.XLOOKUP(B12,Sheet2!$A$2:$A$31,Sheet2!$B$2:$B$31,"Not Found")</f>
        <v>UI/UX Designing</v>
      </c>
      <c r="D12" t="str">
        <f>_xlfn.XLOOKUP(B12,Sheet2!$A$2:$A$31,Sheet2!$C$2:$C$31,"Not Found")</f>
        <v>Design</v>
      </c>
      <c r="E12" t="str">
        <f>_xlfn.XLOOKUP(B12,Sheet2!$A$2:$A$31,Sheet2!$D$2:$D$31,"Not Found")</f>
        <v xml:space="preserve">Advanced </v>
      </c>
      <c r="F12">
        <f>_xlfn.XLOOKUP(B12,Sheet2!$A$2:$A$31,Sheet2!$E$2:$E$31,"Not Found")</f>
        <v>4.2</v>
      </c>
      <c r="G12" t="str">
        <f>Sheet3!C12</f>
        <v>T006</v>
      </c>
      <c r="H12" t="str">
        <f>_xlfn.XLOOKUP(G12,Sheet1!$A$2:$A$31,Sheet1!$B$2:$B$31,"Not Found")</f>
        <v>Sneha Joshi</v>
      </c>
      <c r="I12" t="str">
        <f>_xlfn.XLOOKUP(G12,Sheet1!$A$2:$A$31,Sheet1!$D$2:$D$31,"Not Found")</f>
        <v>Female</v>
      </c>
      <c r="J12">
        <f>_xlfn.XLOOKUP(G12,Sheet1!$A$2:$A$31,Sheet1!$C$2:$C$31,"Not Found")</f>
        <v>31</v>
      </c>
      <c r="K12" t="str">
        <f>_xlfn.XLOOKUP(G12,Sheet1!$A$2:$A$31,Sheet1!$E$2:$E$31,"Not Found")</f>
        <v>Management</v>
      </c>
      <c r="L12">
        <f>_xlfn.XLOOKUP(G12,Sheet1!$A$2:$A$31,Sheet1!$F$2:$F$31,"Not Found")</f>
        <v>8</v>
      </c>
      <c r="M12">
        <f>_xlfn.XLOOKUP(G12,Sheet1!$A$2:$A$31,Sheet1!$G$2:$G$31,"Not Found")</f>
        <v>3.6</v>
      </c>
    </row>
    <row r="13" spans="1:13">
      <c r="A13" t="str">
        <f>Sheet3!A13</f>
        <v>TR012</v>
      </c>
      <c r="B13" t="str">
        <f>Sheet3!B13</f>
        <v>C006</v>
      </c>
      <c r="C13" t="str">
        <f>_xlfn.XLOOKUP(B13,Sheet2!$A$2:$A$31,Sheet2!$B$2:$B$31,"Not Found")</f>
        <v>UI/UX Designing</v>
      </c>
      <c r="D13" t="str">
        <f>_xlfn.XLOOKUP(B13,Sheet2!$A$2:$A$31,Sheet2!$C$2:$C$31,"Not Found")</f>
        <v>Design</v>
      </c>
      <c r="E13" t="str">
        <f>_xlfn.XLOOKUP(B13,Sheet2!$A$2:$A$31,Sheet2!$D$2:$D$31,"Not Found")</f>
        <v xml:space="preserve">Advanced </v>
      </c>
      <c r="F13">
        <f>_xlfn.XLOOKUP(B13,Sheet2!$A$2:$A$31,Sheet2!$E$2:$E$31,"Not Found")</f>
        <v>4.2</v>
      </c>
      <c r="G13" t="str">
        <f>Sheet3!C13</f>
        <v>T006</v>
      </c>
      <c r="H13" t="str">
        <f>_xlfn.XLOOKUP(G13,Sheet1!$A$2:$A$31,Sheet1!$B$2:$B$31,"Not Found")</f>
        <v>Sneha Joshi</v>
      </c>
      <c r="I13" t="str">
        <f>_xlfn.XLOOKUP(G13,Sheet1!$A$2:$A$31,Sheet1!$D$2:$D$31,"Not Found")</f>
        <v>Female</v>
      </c>
      <c r="J13">
        <f>_xlfn.XLOOKUP(G13,Sheet1!$A$2:$A$31,Sheet1!$C$2:$C$31,"Not Found")</f>
        <v>31</v>
      </c>
      <c r="K13" t="str">
        <f>_xlfn.XLOOKUP(G13,Sheet1!$A$2:$A$31,Sheet1!$E$2:$E$31,"Not Found")</f>
        <v>Management</v>
      </c>
      <c r="L13">
        <f>_xlfn.XLOOKUP(G13,Sheet1!$A$2:$A$31,Sheet1!$F$2:$F$31,"Not Found")</f>
        <v>8</v>
      </c>
      <c r="M13">
        <f>_xlfn.XLOOKUP(G13,Sheet1!$A$2:$A$31,Sheet1!$G$2:$G$31,"Not Found")</f>
        <v>3.6</v>
      </c>
    </row>
    <row r="14" spans="1:13">
      <c r="A14" t="str">
        <f>Sheet3!A14</f>
        <v>TR013</v>
      </c>
      <c r="B14" t="str">
        <f>Sheet3!B14</f>
        <v>C007</v>
      </c>
      <c r="C14" t="str">
        <f>_xlfn.XLOOKUP(B14,Sheet2!$A$2:$A$31,Sheet2!$B$2:$B$31,"Not Found")</f>
        <v>Business Analytics</v>
      </c>
      <c r="D14" t="str">
        <f>_xlfn.XLOOKUP(B14,Sheet2!$A$2:$A$31,Sheet2!$C$2:$C$31,"Not Found")</f>
        <v>Business Analytics</v>
      </c>
      <c r="E14" t="str">
        <f>_xlfn.XLOOKUP(B14,Sheet2!$A$2:$A$31,Sheet2!$D$2:$D$31,"Not Found")</f>
        <v>Beginner</v>
      </c>
      <c r="F14">
        <f>_xlfn.XLOOKUP(B14,Sheet2!$A$2:$A$31,Sheet2!$E$2:$E$31,"Not Found")</f>
        <v>4.8</v>
      </c>
      <c r="G14" t="str">
        <f>Sheet3!C14</f>
        <v>T007</v>
      </c>
      <c r="H14" t="str">
        <f>_xlfn.XLOOKUP(G14,Sheet1!$A$2:$A$31,Sheet1!$B$2:$B$31,"Not Found")</f>
        <v>Karan Malhotra</v>
      </c>
      <c r="I14" t="str">
        <f>_xlfn.XLOOKUP(G14,Sheet1!$A$2:$A$31,Sheet1!$D$2:$D$31,"Not Found")</f>
        <v xml:space="preserve">Male </v>
      </c>
      <c r="J14">
        <f>_xlfn.XLOOKUP(G14,Sheet1!$A$2:$A$31,Sheet1!$C$2:$C$31,"Not Found")</f>
        <v>35</v>
      </c>
      <c r="K14" t="str">
        <f>_xlfn.XLOOKUP(G14,Sheet1!$A$2:$A$31,Sheet1!$E$2:$E$31,"Not Found")</f>
        <v>Design</v>
      </c>
      <c r="L14">
        <f>_xlfn.XLOOKUP(G14,Sheet1!$A$2:$A$31,Sheet1!$F$2:$F$31,"Not Found")</f>
        <v>8</v>
      </c>
      <c r="M14">
        <f>_xlfn.XLOOKUP(G14,Sheet1!$A$2:$A$31,Sheet1!$G$2:$G$31,"Not Found")</f>
        <v>3.5</v>
      </c>
    </row>
    <row r="15" spans="1:13">
      <c r="A15" t="str">
        <f>Sheet3!A15</f>
        <v>TR014</v>
      </c>
      <c r="B15" t="str">
        <f>Sheet3!B15</f>
        <v>C007</v>
      </c>
      <c r="C15" t="str">
        <f>_xlfn.XLOOKUP(B15,Sheet2!$A$2:$A$31,Sheet2!$B$2:$B$31,"Not Found")</f>
        <v>Business Analytics</v>
      </c>
      <c r="D15" t="str">
        <f>_xlfn.XLOOKUP(B15,Sheet2!$A$2:$A$31,Sheet2!$C$2:$C$31,"Not Found")</f>
        <v>Business Analytics</v>
      </c>
      <c r="E15" t="str">
        <f>_xlfn.XLOOKUP(B15,Sheet2!$A$2:$A$31,Sheet2!$D$2:$D$31,"Not Found")</f>
        <v>Beginner</v>
      </c>
      <c r="F15">
        <f>_xlfn.XLOOKUP(B15,Sheet2!$A$2:$A$31,Sheet2!$E$2:$E$31,"Not Found")</f>
        <v>4.8</v>
      </c>
      <c r="G15" t="str">
        <f>Sheet3!C15</f>
        <v>T007</v>
      </c>
      <c r="H15" t="str">
        <f>_xlfn.XLOOKUP(G15,Sheet1!$A$2:$A$31,Sheet1!$B$2:$B$31,"Not Found")</f>
        <v>Karan Malhotra</v>
      </c>
      <c r="I15" t="str">
        <f>_xlfn.XLOOKUP(G15,Sheet1!$A$2:$A$31,Sheet1!$D$2:$D$31,"Not Found")</f>
        <v xml:space="preserve">Male </v>
      </c>
      <c r="J15">
        <f>_xlfn.XLOOKUP(G15,Sheet1!$A$2:$A$31,Sheet1!$C$2:$C$31,"Not Found")</f>
        <v>35</v>
      </c>
      <c r="K15" t="str">
        <f>_xlfn.XLOOKUP(G15,Sheet1!$A$2:$A$31,Sheet1!$E$2:$E$31,"Not Found")</f>
        <v>Design</v>
      </c>
      <c r="L15">
        <f>_xlfn.XLOOKUP(G15,Sheet1!$A$2:$A$31,Sheet1!$F$2:$F$31,"Not Found")</f>
        <v>8</v>
      </c>
      <c r="M15">
        <f>_xlfn.XLOOKUP(G15,Sheet1!$A$2:$A$31,Sheet1!$G$2:$G$31,"Not Found")</f>
        <v>3.5</v>
      </c>
    </row>
    <row r="16" spans="1:13">
      <c r="A16" t="str">
        <f>Sheet3!A16</f>
        <v>TR015</v>
      </c>
      <c r="B16" t="str">
        <f>Sheet3!B16</f>
        <v>C008</v>
      </c>
      <c r="C16" t="str">
        <f>_xlfn.XLOOKUP(B16,Sheet2!$A$2:$A$31,Sheet2!$B$2:$B$31,"Not Found")</f>
        <v>Social Media Marketing</v>
      </c>
      <c r="D16" t="str">
        <f>_xlfn.XLOOKUP(B16,Sheet2!$A$2:$A$31,Sheet2!$C$2:$C$31,"Not Found")</f>
        <v>Marketing</v>
      </c>
      <c r="E16" t="str">
        <f>_xlfn.XLOOKUP(B16,Sheet2!$A$2:$A$31,Sheet2!$D$2:$D$31,"Not Found")</f>
        <v>Intermediate</v>
      </c>
      <c r="F16">
        <f>_xlfn.XLOOKUP(B16,Sheet2!$A$2:$A$31,Sheet2!$E$2:$E$31,"Not Found")</f>
        <v>4.0999999999999996</v>
      </c>
      <c r="G16" t="str">
        <f>Sheet3!C16</f>
        <v>T008</v>
      </c>
      <c r="H16" t="str">
        <f>_xlfn.XLOOKUP(G16,Sheet1!$A$2:$A$31,Sheet1!$B$2:$B$31,"Not Found")</f>
        <v>Neha Mehta</v>
      </c>
      <c r="I16" t="str">
        <f>_xlfn.XLOOKUP(G16,Sheet1!$A$2:$A$31,Sheet1!$D$2:$D$31,"Not Found")</f>
        <v>Female</v>
      </c>
      <c r="J16">
        <f>_xlfn.XLOOKUP(G16,Sheet1!$A$2:$A$31,Sheet1!$C$2:$C$31,"Not Found")</f>
        <v>30</v>
      </c>
      <c r="K16" t="str">
        <f>_xlfn.XLOOKUP(G16,Sheet1!$A$2:$A$31,Sheet1!$E$2:$E$31,"Not Found")</f>
        <v>Data Science</v>
      </c>
      <c r="L16">
        <f>_xlfn.XLOOKUP(G16,Sheet1!$A$2:$A$31,Sheet1!$F$2:$F$31,"Not Found")</f>
        <v>5</v>
      </c>
      <c r="M16">
        <f>_xlfn.XLOOKUP(G16,Sheet1!$A$2:$A$31,Sheet1!$G$2:$G$31,"Not Found")</f>
        <v>3.3</v>
      </c>
    </row>
    <row r="17" spans="1:13">
      <c r="A17" t="str">
        <f>Sheet3!A17</f>
        <v>TR016</v>
      </c>
      <c r="B17" t="str">
        <f>Sheet3!B17</f>
        <v>C008</v>
      </c>
      <c r="C17" t="str">
        <f>_xlfn.XLOOKUP(B17,Sheet2!$A$2:$A$31,Sheet2!$B$2:$B$31,"Not Found")</f>
        <v>Social Media Marketing</v>
      </c>
      <c r="D17" t="str">
        <f>_xlfn.XLOOKUP(B17,Sheet2!$A$2:$A$31,Sheet2!$C$2:$C$31,"Not Found")</f>
        <v>Marketing</v>
      </c>
      <c r="E17" t="str">
        <f>_xlfn.XLOOKUP(B17,Sheet2!$A$2:$A$31,Sheet2!$D$2:$D$31,"Not Found")</f>
        <v>Intermediate</v>
      </c>
      <c r="F17">
        <f>_xlfn.XLOOKUP(B17,Sheet2!$A$2:$A$31,Sheet2!$E$2:$E$31,"Not Found")</f>
        <v>4.0999999999999996</v>
      </c>
      <c r="G17" t="str">
        <f>Sheet3!C17</f>
        <v>T008</v>
      </c>
      <c r="H17" t="str">
        <f>_xlfn.XLOOKUP(G17,Sheet1!$A$2:$A$31,Sheet1!$B$2:$B$31,"Not Found")</f>
        <v>Neha Mehta</v>
      </c>
      <c r="I17" t="str">
        <f>_xlfn.XLOOKUP(G17,Sheet1!$A$2:$A$31,Sheet1!$D$2:$D$31,"Not Found")</f>
        <v>Female</v>
      </c>
      <c r="J17">
        <f>_xlfn.XLOOKUP(G17,Sheet1!$A$2:$A$31,Sheet1!$C$2:$C$31,"Not Found")</f>
        <v>30</v>
      </c>
      <c r="K17" t="str">
        <f>_xlfn.XLOOKUP(G17,Sheet1!$A$2:$A$31,Sheet1!$E$2:$E$31,"Not Found")</f>
        <v>Data Science</v>
      </c>
      <c r="L17">
        <f>_xlfn.XLOOKUP(G17,Sheet1!$A$2:$A$31,Sheet1!$F$2:$F$31,"Not Found")</f>
        <v>5</v>
      </c>
      <c r="M17">
        <f>_xlfn.XLOOKUP(G17,Sheet1!$A$2:$A$31,Sheet1!$G$2:$G$31,"Not Found")</f>
        <v>3.3</v>
      </c>
    </row>
    <row r="18" spans="1:13">
      <c r="A18" t="str">
        <f>Sheet3!A18</f>
        <v>TR017</v>
      </c>
      <c r="B18" t="str">
        <f>Sheet3!B18</f>
        <v>C009</v>
      </c>
      <c r="C18" t="str">
        <f>_xlfn.XLOOKUP(B18,Sheet2!$A$2:$A$31,Sheet2!$B$2:$B$31,"Not Found")</f>
        <v>Financial Planning</v>
      </c>
      <c r="D18" t="str">
        <f>_xlfn.XLOOKUP(B18,Sheet2!$A$2:$A$31,Sheet2!$C$2:$C$31,"Not Found")</f>
        <v xml:space="preserve">Finance </v>
      </c>
      <c r="E18" t="str">
        <f>_xlfn.XLOOKUP(B18,Sheet2!$A$2:$A$31,Sheet2!$D$2:$D$31,"Not Found")</f>
        <v xml:space="preserve">Advanced </v>
      </c>
      <c r="F18">
        <f>_xlfn.XLOOKUP(B18,Sheet2!$A$2:$A$31,Sheet2!$E$2:$E$31,"Not Found")</f>
        <v>4.5</v>
      </c>
      <c r="G18" t="str">
        <f>Sheet3!C18</f>
        <v>T009</v>
      </c>
      <c r="H18" t="str">
        <f>_xlfn.XLOOKUP(G18,Sheet1!$A$2:$A$31,Sheet1!$B$2:$B$31,"Not Found")</f>
        <v>Aditya Rao</v>
      </c>
      <c r="I18" t="str">
        <f>_xlfn.XLOOKUP(G18,Sheet1!$A$2:$A$31,Sheet1!$D$2:$D$31,"Not Found")</f>
        <v xml:space="preserve">Male </v>
      </c>
      <c r="J18">
        <f>_xlfn.XLOOKUP(G18,Sheet1!$A$2:$A$31,Sheet1!$C$2:$C$31,"Not Found")</f>
        <v>46</v>
      </c>
      <c r="K18" t="str">
        <f>_xlfn.XLOOKUP(G18,Sheet1!$A$2:$A$31,Sheet1!$E$2:$E$31,"Not Found")</f>
        <v>Business Analytics</v>
      </c>
      <c r="L18">
        <f>_xlfn.XLOOKUP(G18,Sheet1!$A$2:$A$31,Sheet1!$F$2:$F$31,"Not Found")</f>
        <v>11</v>
      </c>
      <c r="M18">
        <f>_xlfn.XLOOKUP(G18,Sheet1!$A$2:$A$31,Sheet1!$G$2:$G$31,"Not Found")</f>
        <v>3.7</v>
      </c>
    </row>
    <row r="19" spans="1:13">
      <c r="A19" t="str">
        <f>Sheet3!A19</f>
        <v>TR018</v>
      </c>
      <c r="B19" t="str">
        <f>Sheet3!B19</f>
        <v>C009</v>
      </c>
      <c r="C19" t="str">
        <f>_xlfn.XLOOKUP(B19,Sheet2!$A$2:$A$31,Sheet2!$B$2:$B$31,"Not Found")</f>
        <v>Financial Planning</v>
      </c>
      <c r="D19" t="str">
        <f>_xlfn.XLOOKUP(B19,Sheet2!$A$2:$A$31,Sheet2!$C$2:$C$31,"Not Found")</f>
        <v xml:space="preserve">Finance </v>
      </c>
      <c r="E19" t="str">
        <f>_xlfn.XLOOKUP(B19,Sheet2!$A$2:$A$31,Sheet2!$D$2:$D$31,"Not Found")</f>
        <v xml:space="preserve">Advanced </v>
      </c>
      <c r="F19">
        <f>_xlfn.XLOOKUP(B19,Sheet2!$A$2:$A$31,Sheet2!$E$2:$E$31,"Not Found")</f>
        <v>4.5</v>
      </c>
      <c r="G19" t="str">
        <f>Sheet3!C19</f>
        <v>T009</v>
      </c>
      <c r="H19" t="str">
        <f>_xlfn.XLOOKUP(G19,Sheet1!$A$2:$A$31,Sheet1!$B$2:$B$31,"Not Found")</f>
        <v>Aditya Rao</v>
      </c>
      <c r="I19" t="str">
        <f>_xlfn.XLOOKUP(G19,Sheet1!$A$2:$A$31,Sheet1!$D$2:$D$31,"Not Found")</f>
        <v xml:space="preserve">Male </v>
      </c>
      <c r="J19">
        <f>_xlfn.XLOOKUP(G19,Sheet1!$A$2:$A$31,Sheet1!$C$2:$C$31,"Not Found")</f>
        <v>46</v>
      </c>
      <c r="K19" t="str">
        <f>_xlfn.XLOOKUP(G19,Sheet1!$A$2:$A$31,Sheet1!$E$2:$E$31,"Not Found")</f>
        <v>Business Analytics</v>
      </c>
      <c r="L19">
        <f>_xlfn.XLOOKUP(G19,Sheet1!$A$2:$A$31,Sheet1!$F$2:$F$31,"Not Found")</f>
        <v>11</v>
      </c>
      <c r="M19">
        <f>_xlfn.XLOOKUP(G19,Sheet1!$A$2:$A$31,Sheet1!$G$2:$G$31,"Not Found")</f>
        <v>3.7</v>
      </c>
    </row>
    <row r="20" spans="1:13">
      <c r="A20" t="str">
        <f>Sheet3!A20</f>
        <v>TR019</v>
      </c>
      <c r="B20" t="str">
        <f>Sheet3!B20</f>
        <v>C010</v>
      </c>
      <c r="C20" t="str">
        <f>_xlfn.XLOOKUP(B20,Sheet2!$A$2:$A$31,Sheet2!$B$2:$B$31,"Not Found")</f>
        <v xml:space="preserve">Machine Learning </v>
      </c>
      <c r="D20" t="str">
        <f>_xlfn.XLOOKUP(B20,Sheet2!$A$2:$A$31,Sheet2!$C$2:$C$31,"Not Found")</f>
        <v>Data Science</v>
      </c>
      <c r="E20" t="str">
        <f>_xlfn.XLOOKUP(B20,Sheet2!$A$2:$A$31,Sheet2!$D$2:$D$31,"Not Found")</f>
        <v>Beginner</v>
      </c>
      <c r="F20">
        <f>_xlfn.XLOOKUP(B20,Sheet2!$A$2:$A$31,Sheet2!$E$2:$E$31,"Not Found")</f>
        <v>4.7</v>
      </c>
      <c r="G20" t="str">
        <f>Sheet3!C20</f>
        <v>T010</v>
      </c>
      <c r="H20" t="str">
        <f>_xlfn.XLOOKUP(G20,Sheet1!$A$2:$A$31,Sheet1!$B$2:$B$31,"Not Found")</f>
        <v xml:space="preserve">Ishita Jain </v>
      </c>
      <c r="I20" t="str">
        <f>_xlfn.XLOOKUP(G20,Sheet1!$A$2:$A$31,Sheet1!$D$2:$D$31,"Not Found")</f>
        <v>Female</v>
      </c>
      <c r="J20">
        <f>_xlfn.XLOOKUP(G20,Sheet1!$A$2:$A$31,Sheet1!$C$2:$C$31,"Not Found")</f>
        <v>31</v>
      </c>
      <c r="K20" t="str">
        <f>_xlfn.XLOOKUP(G20,Sheet1!$A$2:$A$31,Sheet1!$E$2:$E$31,"Not Found")</f>
        <v>Marketing</v>
      </c>
      <c r="L20">
        <f>_xlfn.XLOOKUP(G20,Sheet1!$A$2:$A$31,Sheet1!$F$2:$F$31,"Not Found")</f>
        <v>3</v>
      </c>
      <c r="M20">
        <f>_xlfn.XLOOKUP(G20,Sheet1!$A$2:$A$31,Sheet1!$G$2:$G$31,"Not Found")</f>
        <v>3</v>
      </c>
    </row>
    <row r="21" spans="1:13">
      <c r="A21" t="str">
        <f>Sheet3!A21</f>
        <v>TR020</v>
      </c>
      <c r="B21" t="str">
        <f>Sheet3!B21</f>
        <v>C010</v>
      </c>
      <c r="C21" t="str">
        <f>_xlfn.XLOOKUP(B21,Sheet2!$A$2:$A$31,Sheet2!$B$2:$B$31,"Not Found")</f>
        <v xml:space="preserve">Machine Learning </v>
      </c>
      <c r="D21" t="str">
        <f>_xlfn.XLOOKUP(B21,Sheet2!$A$2:$A$31,Sheet2!$C$2:$C$31,"Not Found")</f>
        <v>Data Science</v>
      </c>
      <c r="E21" t="str">
        <f>_xlfn.XLOOKUP(B21,Sheet2!$A$2:$A$31,Sheet2!$D$2:$D$31,"Not Found")</f>
        <v>Beginner</v>
      </c>
      <c r="F21">
        <f>_xlfn.XLOOKUP(B21,Sheet2!$A$2:$A$31,Sheet2!$E$2:$E$31,"Not Found")</f>
        <v>4.7</v>
      </c>
      <c r="G21" t="str">
        <f>Sheet3!C21</f>
        <v>T010</v>
      </c>
      <c r="H21" t="str">
        <f>_xlfn.XLOOKUP(G21,Sheet1!$A$2:$A$31,Sheet1!$B$2:$B$31,"Not Found")</f>
        <v xml:space="preserve">Ishita Jain </v>
      </c>
      <c r="I21" t="str">
        <f>_xlfn.XLOOKUP(G21,Sheet1!$A$2:$A$31,Sheet1!$D$2:$D$31,"Not Found")</f>
        <v>Female</v>
      </c>
      <c r="J21">
        <f>_xlfn.XLOOKUP(G21,Sheet1!$A$2:$A$31,Sheet1!$C$2:$C$31,"Not Found")</f>
        <v>31</v>
      </c>
      <c r="K21" t="str">
        <f>_xlfn.XLOOKUP(G21,Sheet1!$A$2:$A$31,Sheet1!$E$2:$E$31,"Not Found")</f>
        <v>Marketing</v>
      </c>
      <c r="L21">
        <f>_xlfn.XLOOKUP(G21,Sheet1!$A$2:$A$31,Sheet1!$F$2:$F$31,"Not Found")</f>
        <v>3</v>
      </c>
      <c r="M21">
        <f>_xlfn.XLOOKUP(G21,Sheet1!$A$2:$A$31,Sheet1!$G$2:$G$31,"Not Found")</f>
        <v>3</v>
      </c>
    </row>
    <row r="22" spans="1:13">
      <c r="A22" t="str">
        <f>Sheet3!A22</f>
        <v>TR021</v>
      </c>
      <c r="B22" t="str">
        <f>Sheet3!B22</f>
        <v>C011</v>
      </c>
      <c r="C22" t="str">
        <f>_xlfn.XLOOKUP(B22,Sheet2!$A$2:$A$31,Sheet2!$B$2:$B$31,"Not Found")</f>
        <v xml:space="preserve">Human Resource </v>
      </c>
      <c r="D22" t="str">
        <f>_xlfn.XLOOKUP(B22,Sheet2!$A$2:$A$31,Sheet2!$C$2:$C$31,"Not Found")</f>
        <v>Human Resource</v>
      </c>
      <c r="E22" t="str">
        <f>_xlfn.XLOOKUP(B22,Sheet2!$A$2:$A$31,Sheet2!$D$2:$D$31,"Not Found")</f>
        <v>Intermediate</v>
      </c>
      <c r="F22">
        <f>_xlfn.XLOOKUP(B22,Sheet2!$A$2:$A$31,Sheet2!$E$2:$E$31,"Not Found")</f>
        <v>4.4000000000000004</v>
      </c>
      <c r="G22" t="str">
        <f>Sheet3!C22</f>
        <v>T011</v>
      </c>
      <c r="H22" t="str">
        <f>_xlfn.XLOOKUP(G22,Sheet1!$A$2:$A$31,Sheet1!$B$2:$B$31,"Not Found")</f>
        <v>Rahul Bansal</v>
      </c>
      <c r="I22" t="str">
        <f>_xlfn.XLOOKUP(G22,Sheet1!$A$2:$A$31,Sheet1!$D$2:$D$31,"Not Found")</f>
        <v xml:space="preserve">Male </v>
      </c>
      <c r="J22">
        <f>_xlfn.XLOOKUP(G22,Sheet1!$A$2:$A$31,Sheet1!$C$2:$C$31,"Not Found")</f>
        <v>51</v>
      </c>
      <c r="K22" t="str">
        <f>_xlfn.XLOOKUP(G22,Sheet1!$A$2:$A$31,Sheet1!$E$2:$E$31,"Not Found")</f>
        <v>Finance</v>
      </c>
      <c r="L22">
        <f>_xlfn.XLOOKUP(G22,Sheet1!$A$2:$A$31,Sheet1!$F$2:$F$31,"Not Found")</f>
        <v>16</v>
      </c>
      <c r="M22">
        <f>_xlfn.XLOOKUP(G22,Sheet1!$A$2:$A$31,Sheet1!$G$2:$G$31,"Not Found")</f>
        <v>4</v>
      </c>
    </row>
    <row r="23" spans="1:13">
      <c r="A23" t="str">
        <f>Sheet3!A23</f>
        <v>TR022</v>
      </c>
      <c r="B23" t="str">
        <f>Sheet3!B23</f>
        <v>C011</v>
      </c>
      <c r="C23" t="str">
        <f>_xlfn.XLOOKUP(B23,Sheet2!$A$2:$A$31,Sheet2!$B$2:$B$31,"Not Found")</f>
        <v xml:space="preserve">Human Resource </v>
      </c>
      <c r="D23" t="str">
        <f>_xlfn.XLOOKUP(B23,Sheet2!$A$2:$A$31,Sheet2!$C$2:$C$31,"Not Found")</f>
        <v>Human Resource</v>
      </c>
      <c r="E23" t="str">
        <f>_xlfn.XLOOKUP(B23,Sheet2!$A$2:$A$31,Sheet2!$D$2:$D$31,"Not Found")</f>
        <v>Intermediate</v>
      </c>
      <c r="F23">
        <f>_xlfn.XLOOKUP(B23,Sheet2!$A$2:$A$31,Sheet2!$E$2:$E$31,"Not Found")</f>
        <v>4.4000000000000004</v>
      </c>
      <c r="G23" t="str">
        <f>Sheet3!C23</f>
        <v>T011</v>
      </c>
      <c r="H23" t="str">
        <f>_xlfn.XLOOKUP(G23,Sheet1!$A$2:$A$31,Sheet1!$B$2:$B$31,"Not Found")</f>
        <v>Rahul Bansal</v>
      </c>
      <c r="I23" t="str">
        <f>_xlfn.XLOOKUP(G23,Sheet1!$A$2:$A$31,Sheet1!$D$2:$D$31,"Not Found")</f>
        <v xml:space="preserve">Male </v>
      </c>
      <c r="J23">
        <f>_xlfn.XLOOKUP(G23,Sheet1!$A$2:$A$31,Sheet1!$C$2:$C$31,"Not Found")</f>
        <v>51</v>
      </c>
      <c r="K23" t="str">
        <f>_xlfn.XLOOKUP(G23,Sheet1!$A$2:$A$31,Sheet1!$E$2:$E$31,"Not Found")</f>
        <v>Finance</v>
      </c>
      <c r="L23">
        <f>_xlfn.XLOOKUP(G23,Sheet1!$A$2:$A$31,Sheet1!$F$2:$F$31,"Not Found")</f>
        <v>16</v>
      </c>
      <c r="M23">
        <f>_xlfn.XLOOKUP(G23,Sheet1!$A$2:$A$31,Sheet1!$G$2:$G$31,"Not Found")</f>
        <v>4</v>
      </c>
    </row>
    <row r="24" spans="1:13">
      <c r="A24" t="str">
        <f>Sheet3!A24</f>
        <v>TR023</v>
      </c>
      <c r="B24" t="str">
        <f>Sheet3!B24</f>
        <v>C012</v>
      </c>
      <c r="C24" t="str">
        <f>_xlfn.XLOOKUP(B24,Sheet2!$A$2:$A$31,Sheet2!$B$2:$B$31,"Not Found")</f>
        <v>Investment Analysis</v>
      </c>
      <c r="D24" t="str">
        <f>_xlfn.XLOOKUP(B24,Sheet2!$A$2:$A$31,Sheet2!$C$2:$C$31,"Not Found")</f>
        <v xml:space="preserve">Finance </v>
      </c>
      <c r="E24" t="str">
        <f>_xlfn.XLOOKUP(B24,Sheet2!$A$2:$A$31,Sheet2!$D$2:$D$31,"Not Found")</f>
        <v xml:space="preserve">Advanced </v>
      </c>
      <c r="F24">
        <f>_xlfn.XLOOKUP(B24,Sheet2!$A$2:$A$31,Sheet2!$E$2:$E$31,"Not Found")</f>
        <v>4.8</v>
      </c>
      <c r="G24" t="str">
        <f>Sheet3!C24</f>
        <v>T012</v>
      </c>
      <c r="H24" t="str">
        <f>_xlfn.XLOOKUP(G24,Sheet1!$A$2:$A$31,Sheet1!$B$2:$B$31,"Not Found")</f>
        <v>Kavya Nair</v>
      </c>
      <c r="I24" t="str">
        <f>_xlfn.XLOOKUP(G24,Sheet1!$A$2:$A$31,Sheet1!$D$2:$D$31,"Not Found")</f>
        <v>Female</v>
      </c>
      <c r="J24">
        <f>_xlfn.XLOOKUP(G24,Sheet1!$A$2:$A$31,Sheet1!$C$2:$C$31,"Not Found")</f>
        <v>34</v>
      </c>
      <c r="K24" t="str">
        <f>_xlfn.XLOOKUP(G24,Sheet1!$A$2:$A$31,Sheet1!$E$2:$E$31,"Not Found")</f>
        <v>Technology</v>
      </c>
      <c r="L24">
        <f>_xlfn.XLOOKUP(G24,Sheet1!$A$2:$A$31,Sheet1!$F$2:$F$31,"Not Found")</f>
        <v>8</v>
      </c>
      <c r="M24">
        <f>_xlfn.XLOOKUP(G24,Sheet1!$A$2:$A$31,Sheet1!$G$2:$G$31,"Not Found")</f>
        <v>3.5</v>
      </c>
    </row>
    <row r="25" spans="1:13">
      <c r="A25" t="str">
        <f>Sheet3!A25</f>
        <v>TR024</v>
      </c>
      <c r="B25" t="str">
        <f>Sheet3!B25</f>
        <v>C012</v>
      </c>
      <c r="C25" t="str">
        <f>_xlfn.XLOOKUP(B25,Sheet2!$A$2:$A$31,Sheet2!$B$2:$B$31,"Not Found")</f>
        <v>Investment Analysis</v>
      </c>
      <c r="D25" t="str">
        <f>_xlfn.XLOOKUP(B25,Sheet2!$A$2:$A$31,Sheet2!$C$2:$C$31,"Not Found")</f>
        <v xml:space="preserve">Finance </v>
      </c>
      <c r="E25" t="str">
        <f>_xlfn.XLOOKUP(B25,Sheet2!$A$2:$A$31,Sheet2!$D$2:$D$31,"Not Found")</f>
        <v xml:space="preserve">Advanced </v>
      </c>
      <c r="F25">
        <f>_xlfn.XLOOKUP(B25,Sheet2!$A$2:$A$31,Sheet2!$E$2:$E$31,"Not Found")</f>
        <v>4.8</v>
      </c>
      <c r="G25" t="str">
        <f>Sheet3!C25</f>
        <v>T012</v>
      </c>
      <c r="H25" t="str">
        <f>_xlfn.XLOOKUP(G25,Sheet1!$A$2:$A$31,Sheet1!$B$2:$B$31,"Not Found")</f>
        <v>Kavya Nair</v>
      </c>
      <c r="I25" t="str">
        <f>_xlfn.XLOOKUP(G25,Sheet1!$A$2:$A$31,Sheet1!$D$2:$D$31,"Not Found")</f>
        <v>Female</v>
      </c>
      <c r="J25">
        <f>_xlfn.XLOOKUP(G25,Sheet1!$A$2:$A$31,Sheet1!$C$2:$C$31,"Not Found")</f>
        <v>34</v>
      </c>
      <c r="K25" t="str">
        <f>_xlfn.XLOOKUP(G25,Sheet1!$A$2:$A$31,Sheet1!$E$2:$E$31,"Not Found")</f>
        <v>Technology</v>
      </c>
      <c r="L25">
        <f>_xlfn.XLOOKUP(G25,Sheet1!$A$2:$A$31,Sheet1!$F$2:$F$31,"Not Found")</f>
        <v>8</v>
      </c>
      <c r="M25">
        <f>_xlfn.XLOOKUP(G25,Sheet1!$A$2:$A$31,Sheet1!$G$2:$G$31,"Not Found")</f>
        <v>3.5</v>
      </c>
    </row>
    <row r="26" spans="1:13">
      <c r="A26" t="str">
        <f>Sheet3!A26</f>
        <v>TR025</v>
      </c>
      <c r="B26" t="str">
        <f>Sheet3!B26</f>
        <v>C013</v>
      </c>
      <c r="C26" t="str">
        <f>_xlfn.XLOOKUP(B26,Sheet2!$A$2:$A$31,Sheet2!$B$2:$B$31,"Not Found")</f>
        <v xml:space="preserve">Web Development </v>
      </c>
      <c r="D26" t="str">
        <f>_xlfn.XLOOKUP(B26,Sheet2!$A$2:$A$31,Sheet2!$C$2:$C$31,"Not Found")</f>
        <v>Technology</v>
      </c>
      <c r="E26" t="str">
        <f>_xlfn.XLOOKUP(B26,Sheet2!$A$2:$A$31,Sheet2!$D$2:$D$31,"Not Found")</f>
        <v>Beginner</v>
      </c>
      <c r="F26">
        <f>_xlfn.XLOOKUP(B26,Sheet2!$A$2:$A$31,Sheet2!$E$2:$E$31,"Not Found")</f>
        <v>4.5999999999999996</v>
      </c>
      <c r="G26" t="str">
        <f>Sheet3!C26</f>
        <v>T013</v>
      </c>
      <c r="H26" t="str">
        <f>_xlfn.XLOOKUP(G26,Sheet1!$A$2:$A$31,Sheet1!$B$2:$B$31,"Not Found")</f>
        <v>Vivek Shah</v>
      </c>
      <c r="I26" t="str">
        <f>_xlfn.XLOOKUP(G26,Sheet1!$A$2:$A$31,Sheet1!$D$2:$D$31,"Not Found")</f>
        <v xml:space="preserve">Male </v>
      </c>
      <c r="J26">
        <f>_xlfn.XLOOKUP(G26,Sheet1!$A$2:$A$31,Sheet1!$C$2:$C$31,"Not Found")</f>
        <v>40</v>
      </c>
      <c r="K26" t="str">
        <f>_xlfn.XLOOKUP(G26,Sheet1!$A$2:$A$31,Sheet1!$E$2:$E$31,"Not Found")</f>
        <v>Management</v>
      </c>
      <c r="L26">
        <f>_xlfn.XLOOKUP(G26,Sheet1!$A$2:$A$31,Sheet1!$F$2:$F$31,"Not Found")</f>
        <v>9</v>
      </c>
      <c r="M26">
        <f>_xlfn.XLOOKUP(G26,Sheet1!$A$2:$A$31,Sheet1!$G$2:$G$31,"Not Found")</f>
        <v>3.9</v>
      </c>
    </row>
    <row r="27" spans="1:13">
      <c r="A27" t="str">
        <f>Sheet3!A27</f>
        <v>TR026</v>
      </c>
      <c r="B27" t="str">
        <f>Sheet3!B27</f>
        <v>C013</v>
      </c>
      <c r="C27" t="str">
        <f>_xlfn.XLOOKUP(B27,Sheet2!$A$2:$A$31,Sheet2!$B$2:$B$31,"Not Found")</f>
        <v xml:space="preserve">Web Development </v>
      </c>
      <c r="D27" t="str">
        <f>_xlfn.XLOOKUP(B27,Sheet2!$A$2:$A$31,Sheet2!$C$2:$C$31,"Not Found")</f>
        <v>Technology</v>
      </c>
      <c r="E27" t="str">
        <f>_xlfn.XLOOKUP(B27,Sheet2!$A$2:$A$31,Sheet2!$D$2:$D$31,"Not Found")</f>
        <v>Beginner</v>
      </c>
      <c r="F27">
        <f>_xlfn.XLOOKUP(B27,Sheet2!$A$2:$A$31,Sheet2!$E$2:$E$31,"Not Found")</f>
        <v>4.5999999999999996</v>
      </c>
      <c r="G27" t="str">
        <f>Sheet3!C27</f>
        <v>T013</v>
      </c>
      <c r="H27" t="str">
        <f>_xlfn.XLOOKUP(G27,Sheet1!$A$2:$A$31,Sheet1!$B$2:$B$31,"Not Found")</f>
        <v>Vivek Shah</v>
      </c>
      <c r="I27" t="str">
        <f>_xlfn.XLOOKUP(G27,Sheet1!$A$2:$A$31,Sheet1!$D$2:$D$31,"Not Found")</f>
        <v xml:space="preserve">Male </v>
      </c>
      <c r="J27">
        <f>_xlfn.XLOOKUP(G27,Sheet1!$A$2:$A$31,Sheet1!$C$2:$C$31,"Not Found")</f>
        <v>40</v>
      </c>
      <c r="K27" t="str">
        <f>_xlfn.XLOOKUP(G27,Sheet1!$A$2:$A$31,Sheet1!$E$2:$E$31,"Not Found")</f>
        <v>Management</v>
      </c>
      <c r="L27">
        <f>_xlfn.XLOOKUP(G27,Sheet1!$A$2:$A$31,Sheet1!$F$2:$F$31,"Not Found")</f>
        <v>9</v>
      </c>
      <c r="M27">
        <f>_xlfn.XLOOKUP(G27,Sheet1!$A$2:$A$31,Sheet1!$G$2:$G$31,"Not Found")</f>
        <v>3.9</v>
      </c>
    </row>
    <row r="28" spans="1:13">
      <c r="A28" t="str">
        <f>Sheet3!A28</f>
        <v>TR027</v>
      </c>
      <c r="B28" t="str">
        <f>Sheet3!B28</f>
        <v>C014</v>
      </c>
      <c r="C28" t="str">
        <f>_xlfn.XLOOKUP(B28,Sheet2!$A$2:$A$31,Sheet2!$B$2:$B$31,"Not Found")</f>
        <v>Leadership skills</v>
      </c>
      <c r="D28" t="str">
        <f>_xlfn.XLOOKUP(B28,Sheet2!$A$2:$A$31,Sheet2!$C$2:$C$31,"Not Found")</f>
        <v>Management</v>
      </c>
      <c r="E28" t="str">
        <f>_xlfn.XLOOKUP(B28,Sheet2!$A$2:$A$31,Sheet2!$D$2:$D$31,"Not Found")</f>
        <v>Intermediate</v>
      </c>
      <c r="F28">
        <f>_xlfn.XLOOKUP(B28,Sheet2!$A$2:$A$31,Sheet2!$E$2:$E$31,"Not Found")</f>
        <v>4.5</v>
      </c>
      <c r="G28" t="str">
        <f>Sheet3!C28</f>
        <v>T014</v>
      </c>
      <c r="H28" t="str">
        <f>_xlfn.XLOOKUP(G28,Sheet1!$A$2:$A$31,Sheet1!$B$2:$B$31,"Not Found")</f>
        <v>Simaran Kaur</v>
      </c>
      <c r="I28" t="str">
        <f>_xlfn.XLOOKUP(G28,Sheet1!$A$2:$A$31,Sheet1!$D$2:$D$31,"Not Found")</f>
        <v>Female</v>
      </c>
      <c r="J28">
        <f>_xlfn.XLOOKUP(G28,Sheet1!$A$2:$A$31,Sheet1!$C$2:$C$31,"Not Found")</f>
        <v>31</v>
      </c>
      <c r="K28" t="str">
        <f>_xlfn.XLOOKUP(G28,Sheet1!$A$2:$A$31,Sheet1!$E$2:$E$31,"Not Found")</f>
        <v>Design</v>
      </c>
      <c r="L28">
        <f>_xlfn.XLOOKUP(G28,Sheet1!$A$2:$A$31,Sheet1!$F$2:$F$31,"Not Found")</f>
        <v>3</v>
      </c>
      <c r="M28">
        <f>_xlfn.XLOOKUP(G28,Sheet1!$A$2:$A$31,Sheet1!$G$2:$G$31,"Not Found")</f>
        <v>3.5</v>
      </c>
    </row>
    <row r="29" spans="1:13">
      <c r="A29" t="str">
        <f>Sheet3!A29</f>
        <v>TR028</v>
      </c>
      <c r="B29" t="str">
        <f>Sheet3!B29</f>
        <v>C014</v>
      </c>
      <c r="C29" t="str">
        <f>_xlfn.XLOOKUP(B29,Sheet2!$A$2:$A$31,Sheet2!$B$2:$B$31,"Not Found")</f>
        <v>Leadership skills</v>
      </c>
      <c r="D29" t="str">
        <f>_xlfn.XLOOKUP(B29,Sheet2!$A$2:$A$31,Sheet2!$C$2:$C$31,"Not Found")</f>
        <v>Management</v>
      </c>
      <c r="E29" t="str">
        <f>_xlfn.XLOOKUP(B29,Sheet2!$A$2:$A$31,Sheet2!$D$2:$D$31,"Not Found")</f>
        <v>Intermediate</v>
      </c>
      <c r="F29">
        <f>_xlfn.XLOOKUP(B29,Sheet2!$A$2:$A$31,Sheet2!$E$2:$E$31,"Not Found")</f>
        <v>4.5</v>
      </c>
      <c r="G29" t="str">
        <f>Sheet3!C29</f>
        <v>T014</v>
      </c>
      <c r="H29" t="str">
        <f>_xlfn.XLOOKUP(G29,Sheet1!$A$2:$A$31,Sheet1!$B$2:$B$31,"Not Found")</f>
        <v>Simaran Kaur</v>
      </c>
      <c r="I29" t="str">
        <f>_xlfn.XLOOKUP(G29,Sheet1!$A$2:$A$31,Sheet1!$D$2:$D$31,"Not Found")</f>
        <v>Female</v>
      </c>
      <c r="J29">
        <f>_xlfn.XLOOKUP(G29,Sheet1!$A$2:$A$31,Sheet1!$C$2:$C$31,"Not Found")</f>
        <v>31</v>
      </c>
      <c r="K29" t="str">
        <f>_xlfn.XLOOKUP(G29,Sheet1!$A$2:$A$31,Sheet1!$E$2:$E$31,"Not Found")</f>
        <v>Design</v>
      </c>
      <c r="L29">
        <f>_xlfn.XLOOKUP(G29,Sheet1!$A$2:$A$31,Sheet1!$F$2:$F$31,"Not Found")</f>
        <v>3</v>
      </c>
      <c r="M29">
        <f>_xlfn.XLOOKUP(G29,Sheet1!$A$2:$A$31,Sheet1!$G$2:$G$31,"Not Found")</f>
        <v>3.5</v>
      </c>
    </row>
    <row r="30" spans="1:13">
      <c r="A30" t="str">
        <f>Sheet3!A30</f>
        <v>TR029</v>
      </c>
      <c r="B30" t="str">
        <f>Sheet3!B30</f>
        <v>C015</v>
      </c>
      <c r="C30" t="str">
        <f>_xlfn.XLOOKUP(B30,Sheet2!$A$2:$A$31,Sheet2!$B$2:$B$31,"Not Found")</f>
        <v xml:space="preserve">Data Visualization </v>
      </c>
      <c r="D30" t="str">
        <f>_xlfn.XLOOKUP(B30,Sheet2!$A$2:$A$31,Sheet2!$C$2:$C$31,"Not Found")</f>
        <v>Business Analytics</v>
      </c>
      <c r="E30" t="str">
        <f>_xlfn.XLOOKUP(B30,Sheet2!$A$2:$A$31,Sheet2!$D$2:$D$31,"Not Found")</f>
        <v xml:space="preserve">Advanced </v>
      </c>
      <c r="F30">
        <f>_xlfn.XLOOKUP(B30,Sheet2!$A$2:$A$31,Sheet2!$E$2:$E$31,"Not Found")</f>
        <v>4.7</v>
      </c>
      <c r="G30" t="str">
        <f>Sheet3!C30</f>
        <v>T015</v>
      </c>
      <c r="H30" t="str">
        <f>_xlfn.XLOOKUP(G30,Sheet1!$A$2:$A$31,Sheet1!$B$2:$B$31,"Not Found")</f>
        <v>Manish Soni</v>
      </c>
      <c r="I30" t="str">
        <f>_xlfn.XLOOKUP(G30,Sheet1!$A$2:$A$31,Sheet1!$D$2:$D$31,"Not Found")</f>
        <v xml:space="preserve">Male </v>
      </c>
      <c r="J30">
        <f>_xlfn.XLOOKUP(G30,Sheet1!$A$2:$A$31,Sheet1!$C$2:$C$31,"Not Found")</f>
        <v>36</v>
      </c>
      <c r="K30" t="str">
        <f>_xlfn.XLOOKUP(G30,Sheet1!$A$2:$A$31,Sheet1!$E$2:$E$31,"Not Found")</f>
        <v>Data Science</v>
      </c>
      <c r="L30">
        <f>_xlfn.XLOOKUP(G30,Sheet1!$A$2:$A$31,Sheet1!$F$2:$F$31,"Not Found")</f>
        <v>7</v>
      </c>
      <c r="M30">
        <f>_xlfn.XLOOKUP(G30,Sheet1!$A$2:$A$31,Sheet1!$G$2:$G$31,"Not Found")</f>
        <v>3.5</v>
      </c>
    </row>
    <row r="31" spans="1:13">
      <c r="A31" t="str">
        <f>Sheet3!A31</f>
        <v>TR030</v>
      </c>
      <c r="B31" t="str">
        <f>Sheet3!B31</f>
        <v>C015</v>
      </c>
      <c r="C31" t="str">
        <f>_xlfn.XLOOKUP(B31,Sheet2!$A$2:$A$31,Sheet2!$B$2:$B$31,"Not Found")</f>
        <v xml:space="preserve">Data Visualization </v>
      </c>
      <c r="D31" t="str">
        <f>_xlfn.XLOOKUP(B31,Sheet2!$A$2:$A$31,Sheet2!$C$2:$C$31,"Not Found")</f>
        <v>Business Analytics</v>
      </c>
      <c r="E31" t="str">
        <f>_xlfn.XLOOKUP(B31,Sheet2!$A$2:$A$31,Sheet2!$D$2:$D$31,"Not Found")</f>
        <v xml:space="preserve">Advanced </v>
      </c>
      <c r="F31">
        <f>_xlfn.XLOOKUP(B31,Sheet2!$A$2:$A$31,Sheet2!$E$2:$E$31,"Not Found")</f>
        <v>4.7</v>
      </c>
      <c r="G31" t="str">
        <f>Sheet3!C31</f>
        <v>T015</v>
      </c>
      <c r="H31" t="str">
        <f>_xlfn.XLOOKUP(G31,Sheet1!$A$2:$A$31,Sheet1!$B$2:$B$31,"Not Found")</f>
        <v>Manish Soni</v>
      </c>
      <c r="I31" t="str">
        <f>_xlfn.XLOOKUP(G31,Sheet1!$A$2:$A$31,Sheet1!$D$2:$D$31,"Not Found")</f>
        <v xml:space="preserve">Male </v>
      </c>
      <c r="J31">
        <f>_xlfn.XLOOKUP(G31,Sheet1!$A$2:$A$31,Sheet1!$C$2:$C$31,"Not Found")</f>
        <v>36</v>
      </c>
      <c r="K31" t="str">
        <f>_xlfn.XLOOKUP(G31,Sheet1!$A$2:$A$31,Sheet1!$E$2:$E$31,"Not Found")</f>
        <v>Data Science</v>
      </c>
      <c r="L31">
        <f>_xlfn.XLOOKUP(G31,Sheet1!$A$2:$A$31,Sheet1!$F$2:$F$31,"Not Found")</f>
        <v>7</v>
      </c>
      <c r="M31">
        <f>_xlfn.XLOOKUP(G31,Sheet1!$A$2:$A$31,Sheet1!$G$2:$G$31,"Not Found")</f>
        <v>3.5</v>
      </c>
    </row>
    <row r="32" spans="1:13">
      <c r="A32" t="str">
        <f>Sheet3!A32</f>
        <v>TR031</v>
      </c>
      <c r="B32" t="str">
        <f>Sheet3!B32</f>
        <v>C016</v>
      </c>
      <c r="C32" t="str">
        <f>_xlfn.XLOOKUP(B32,Sheet2!$A$2:$A$31,Sheet2!$B$2:$B$31,"Not Found")</f>
        <v xml:space="preserve">Brand Management </v>
      </c>
      <c r="D32" t="str">
        <f>_xlfn.XLOOKUP(B32,Sheet2!$A$2:$A$31,Sheet2!$C$2:$C$31,"Not Found")</f>
        <v>Marketing</v>
      </c>
      <c r="E32" t="str">
        <f>_xlfn.XLOOKUP(B32,Sheet2!$A$2:$A$31,Sheet2!$D$2:$D$31,"Not Found")</f>
        <v>Beginner</v>
      </c>
      <c r="F32">
        <f>_xlfn.XLOOKUP(B32,Sheet2!$A$2:$A$31,Sheet2!$E$2:$E$31,"Not Found")</f>
        <v>4.3</v>
      </c>
      <c r="G32" t="str">
        <f>Sheet3!C32</f>
        <v>T016</v>
      </c>
      <c r="H32" t="str">
        <f>_xlfn.XLOOKUP(G32,Sheet1!$A$2:$A$31,Sheet1!$B$2:$B$31,"Not Found")</f>
        <v>Pooja Agarwal</v>
      </c>
      <c r="I32" t="str">
        <f>_xlfn.XLOOKUP(G32,Sheet1!$A$2:$A$31,Sheet1!$D$2:$D$31,"Not Found")</f>
        <v>Female</v>
      </c>
      <c r="J32">
        <f>_xlfn.XLOOKUP(G32,Sheet1!$A$2:$A$31,Sheet1!$C$2:$C$31,"Not Found")</f>
        <v>54</v>
      </c>
      <c r="K32" t="str">
        <f>_xlfn.XLOOKUP(G32,Sheet1!$A$2:$A$31,Sheet1!$E$2:$E$31,"Not Found")</f>
        <v>Business Analytics</v>
      </c>
      <c r="L32">
        <f>_xlfn.XLOOKUP(G32,Sheet1!$A$2:$A$31,Sheet1!$F$2:$F$31,"Not Found")</f>
        <v>7</v>
      </c>
      <c r="M32">
        <f>_xlfn.XLOOKUP(G32,Sheet1!$A$2:$A$31,Sheet1!$G$2:$G$31,"Not Found")</f>
        <v>3.7</v>
      </c>
    </row>
    <row r="33" spans="1:13">
      <c r="A33" t="str">
        <f>Sheet3!A33</f>
        <v>TR032</v>
      </c>
      <c r="B33" t="str">
        <f>Sheet3!B33</f>
        <v>C016</v>
      </c>
      <c r="C33" t="str">
        <f>_xlfn.XLOOKUP(B33,Sheet2!$A$2:$A$31,Sheet2!$B$2:$B$31,"Not Found")</f>
        <v xml:space="preserve">Brand Management </v>
      </c>
      <c r="D33" t="str">
        <f>_xlfn.XLOOKUP(B33,Sheet2!$A$2:$A$31,Sheet2!$C$2:$C$31,"Not Found")</f>
        <v>Marketing</v>
      </c>
      <c r="E33" t="str">
        <f>_xlfn.XLOOKUP(B33,Sheet2!$A$2:$A$31,Sheet2!$D$2:$D$31,"Not Found")</f>
        <v>Beginner</v>
      </c>
      <c r="F33">
        <f>_xlfn.XLOOKUP(B33,Sheet2!$A$2:$A$31,Sheet2!$E$2:$E$31,"Not Found")</f>
        <v>4.3</v>
      </c>
      <c r="G33" t="str">
        <f>Sheet3!C33</f>
        <v>T016</v>
      </c>
      <c r="H33" t="str">
        <f>_xlfn.XLOOKUP(G33,Sheet1!$A$2:$A$31,Sheet1!$B$2:$B$31,"Not Found")</f>
        <v>Pooja Agarwal</v>
      </c>
      <c r="I33" t="str">
        <f>_xlfn.XLOOKUP(G33,Sheet1!$A$2:$A$31,Sheet1!$D$2:$D$31,"Not Found")</f>
        <v>Female</v>
      </c>
      <c r="J33">
        <f>_xlfn.XLOOKUP(G33,Sheet1!$A$2:$A$31,Sheet1!$C$2:$C$31,"Not Found")</f>
        <v>54</v>
      </c>
      <c r="K33" t="str">
        <f>_xlfn.XLOOKUP(G33,Sheet1!$A$2:$A$31,Sheet1!$E$2:$E$31,"Not Found")</f>
        <v>Business Analytics</v>
      </c>
      <c r="L33">
        <f>_xlfn.XLOOKUP(G33,Sheet1!$A$2:$A$31,Sheet1!$F$2:$F$31,"Not Found")</f>
        <v>7</v>
      </c>
      <c r="M33">
        <f>_xlfn.XLOOKUP(G33,Sheet1!$A$2:$A$31,Sheet1!$G$2:$G$31,"Not Found")</f>
        <v>3.7</v>
      </c>
    </row>
    <row r="34" spans="1:13">
      <c r="A34" t="str">
        <f>Sheet3!A34</f>
        <v>TR033</v>
      </c>
      <c r="B34" t="str">
        <f>Sheet3!B34</f>
        <v>C017</v>
      </c>
      <c r="C34" t="str">
        <f>_xlfn.XLOOKUP(B34,Sheet2!$A$2:$A$31,Sheet2!$B$2:$B$31,"Not Found")</f>
        <v xml:space="preserve">SQL for Beginners </v>
      </c>
      <c r="D34" t="str">
        <f>_xlfn.XLOOKUP(B34,Sheet2!$A$2:$A$31,Sheet2!$C$2:$C$31,"Not Found")</f>
        <v>Data Science</v>
      </c>
      <c r="E34" t="str">
        <f>_xlfn.XLOOKUP(B34,Sheet2!$A$2:$A$31,Sheet2!$D$2:$D$31,"Not Found")</f>
        <v>Intermediate</v>
      </c>
      <c r="F34">
        <f>_xlfn.XLOOKUP(B34,Sheet2!$A$2:$A$31,Sheet2!$E$2:$E$31,"Not Found")</f>
        <v>4.4000000000000004</v>
      </c>
      <c r="G34" t="str">
        <f>Sheet3!C34</f>
        <v>T017</v>
      </c>
      <c r="H34" t="str">
        <f>_xlfn.XLOOKUP(G34,Sheet1!$A$2:$A$31,Sheet1!$B$2:$B$31,"Not Found")</f>
        <v>Nikhil Arora</v>
      </c>
      <c r="I34" t="str">
        <f>_xlfn.XLOOKUP(G34,Sheet1!$A$2:$A$31,Sheet1!$D$2:$D$31,"Not Found")</f>
        <v xml:space="preserve">Male </v>
      </c>
      <c r="J34">
        <f>_xlfn.XLOOKUP(G34,Sheet1!$A$2:$A$31,Sheet1!$C$2:$C$31,"Not Found")</f>
        <v>32</v>
      </c>
      <c r="K34" t="str">
        <f>_xlfn.XLOOKUP(G34,Sheet1!$A$2:$A$31,Sheet1!$E$2:$E$31,"Not Found")</f>
        <v>Marketing</v>
      </c>
      <c r="L34">
        <f>_xlfn.XLOOKUP(G34,Sheet1!$A$2:$A$31,Sheet1!$F$2:$F$31,"Not Found")</f>
        <v>4</v>
      </c>
      <c r="M34">
        <f>_xlfn.XLOOKUP(G34,Sheet1!$A$2:$A$31,Sheet1!$G$2:$G$31,"Not Found")</f>
        <v>3.5</v>
      </c>
    </row>
    <row r="35" spans="1:13">
      <c r="A35" t="str">
        <f>Sheet3!A35</f>
        <v>TR034</v>
      </c>
      <c r="B35" t="str">
        <f>Sheet3!B35</f>
        <v>C017</v>
      </c>
      <c r="C35" t="str">
        <f>_xlfn.XLOOKUP(B35,Sheet2!$A$2:$A$31,Sheet2!$B$2:$B$31,"Not Found")</f>
        <v xml:space="preserve">SQL for Beginners </v>
      </c>
      <c r="D35" t="str">
        <f>_xlfn.XLOOKUP(B35,Sheet2!$A$2:$A$31,Sheet2!$C$2:$C$31,"Not Found")</f>
        <v>Data Science</v>
      </c>
      <c r="E35" t="str">
        <f>_xlfn.XLOOKUP(B35,Sheet2!$A$2:$A$31,Sheet2!$D$2:$D$31,"Not Found")</f>
        <v>Intermediate</v>
      </c>
      <c r="F35">
        <f>_xlfn.XLOOKUP(B35,Sheet2!$A$2:$A$31,Sheet2!$E$2:$E$31,"Not Found")</f>
        <v>4.4000000000000004</v>
      </c>
      <c r="G35" t="str">
        <f>Sheet3!C35</f>
        <v>T017</v>
      </c>
      <c r="H35" t="str">
        <f>_xlfn.XLOOKUP(G35,Sheet1!$A$2:$A$31,Sheet1!$B$2:$B$31,"Not Found")</f>
        <v>Nikhil Arora</v>
      </c>
      <c r="I35" t="str">
        <f>_xlfn.XLOOKUP(G35,Sheet1!$A$2:$A$31,Sheet1!$D$2:$D$31,"Not Found")</f>
        <v xml:space="preserve">Male </v>
      </c>
      <c r="J35">
        <f>_xlfn.XLOOKUP(G35,Sheet1!$A$2:$A$31,Sheet1!$C$2:$C$31,"Not Found")</f>
        <v>32</v>
      </c>
      <c r="K35" t="str">
        <f>_xlfn.XLOOKUP(G35,Sheet1!$A$2:$A$31,Sheet1!$E$2:$E$31,"Not Found")</f>
        <v>Marketing</v>
      </c>
      <c r="L35">
        <f>_xlfn.XLOOKUP(G35,Sheet1!$A$2:$A$31,Sheet1!$F$2:$F$31,"Not Found")</f>
        <v>4</v>
      </c>
      <c r="M35">
        <f>_xlfn.XLOOKUP(G35,Sheet1!$A$2:$A$31,Sheet1!$G$2:$G$31,"Not Found")</f>
        <v>3.5</v>
      </c>
    </row>
    <row r="36" spans="1:13">
      <c r="A36" t="str">
        <f>Sheet3!A36</f>
        <v>TR035</v>
      </c>
      <c r="B36" t="str">
        <f>Sheet3!B36</f>
        <v>C018</v>
      </c>
      <c r="C36" t="str">
        <f>_xlfn.XLOOKUP(B36,Sheet2!$A$2:$A$31,Sheet2!$B$2:$B$31,"Not Found")</f>
        <v xml:space="preserve">Graphic Design Basics </v>
      </c>
      <c r="D36" t="str">
        <f>_xlfn.XLOOKUP(B36,Sheet2!$A$2:$A$31,Sheet2!$C$2:$C$31,"Not Found")</f>
        <v>Design</v>
      </c>
      <c r="E36" t="str">
        <f>_xlfn.XLOOKUP(B36,Sheet2!$A$2:$A$31,Sheet2!$D$2:$D$31,"Not Found")</f>
        <v xml:space="preserve">Advanced </v>
      </c>
      <c r="F36">
        <f>_xlfn.XLOOKUP(B36,Sheet2!$A$2:$A$31,Sheet2!$E$2:$E$31,"Not Found")</f>
        <v>4.2</v>
      </c>
      <c r="G36" t="str">
        <f>Sheet3!C36</f>
        <v>T018</v>
      </c>
      <c r="H36" t="str">
        <f>_xlfn.XLOOKUP(G36,Sheet1!$A$2:$A$31,Sheet1!$B$2:$B$31,"Not Found")</f>
        <v>Riya Khanna</v>
      </c>
      <c r="I36" t="str">
        <f>_xlfn.XLOOKUP(G36,Sheet1!$A$2:$A$31,Sheet1!$D$2:$D$31,"Not Found")</f>
        <v>Female</v>
      </c>
      <c r="J36">
        <f>_xlfn.XLOOKUP(G36,Sheet1!$A$2:$A$31,Sheet1!$C$2:$C$31,"Not Found")</f>
        <v>50</v>
      </c>
      <c r="K36" t="str">
        <f>_xlfn.XLOOKUP(G36,Sheet1!$A$2:$A$31,Sheet1!$E$2:$E$31,"Not Found")</f>
        <v>Finance</v>
      </c>
      <c r="L36">
        <f>_xlfn.XLOOKUP(G36,Sheet1!$A$2:$A$31,Sheet1!$F$2:$F$31,"Not Found")</f>
        <v>16</v>
      </c>
      <c r="M36">
        <f>_xlfn.XLOOKUP(G36,Sheet1!$A$2:$A$31,Sheet1!$G$2:$G$31,"Not Found")</f>
        <v>4</v>
      </c>
    </row>
    <row r="37" spans="1:13">
      <c r="A37" t="str">
        <f>Sheet3!A37</f>
        <v>TR036</v>
      </c>
      <c r="B37" t="str">
        <f>Sheet3!B37</f>
        <v>C019</v>
      </c>
      <c r="C37" t="str">
        <f>_xlfn.XLOOKUP(B37,Sheet2!$A$2:$A$31,Sheet2!$B$2:$B$31,"Not Found")</f>
        <v>Risk Management</v>
      </c>
      <c r="D37" t="str">
        <f>_xlfn.XLOOKUP(B37,Sheet2!$A$2:$A$31,Sheet2!$C$2:$C$31,"Not Found")</f>
        <v xml:space="preserve">Finance </v>
      </c>
      <c r="E37" t="str">
        <f>_xlfn.XLOOKUP(B37,Sheet2!$A$2:$A$31,Sheet2!$D$2:$D$31,"Not Found")</f>
        <v>Beginner</v>
      </c>
      <c r="F37">
        <f>_xlfn.XLOOKUP(B37,Sheet2!$A$2:$A$31,Sheet2!$E$2:$E$31,"Not Found")</f>
        <v>4.5999999999999996</v>
      </c>
      <c r="G37" t="str">
        <f>Sheet3!C37</f>
        <v>T018</v>
      </c>
      <c r="H37" t="str">
        <f>_xlfn.XLOOKUP(G37,Sheet1!$A$2:$A$31,Sheet1!$B$2:$B$31,"Not Found")</f>
        <v>Riya Khanna</v>
      </c>
      <c r="I37" t="str">
        <f>_xlfn.XLOOKUP(G37,Sheet1!$A$2:$A$31,Sheet1!$D$2:$D$31,"Not Found")</f>
        <v>Female</v>
      </c>
      <c r="J37">
        <f>_xlfn.XLOOKUP(G37,Sheet1!$A$2:$A$31,Sheet1!$C$2:$C$31,"Not Found")</f>
        <v>50</v>
      </c>
      <c r="K37" t="str">
        <f>_xlfn.XLOOKUP(G37,Sheet1!$A$2:$A$31,Sheet1!$E$2:$E$31,"Not Found")</f>
        <v>Finance</v>
      </c>
      <c r="L37">
        <f>_xlfn.XLOOKUP(G37,Sheet1!$A$2:$A$31,Sheet1!$F$2:$F$31,"Not Found")</f>
        <v>16</v>
      </c>
      <c r="M37">
        <f>_xlfn.XLOOKUP(G37,Sheet1!$A$2:$A$31,Sheet1!$G$2:$G$31,"Not Found")</f>
        <v>4</v>
      </c>
    </row>
    <row r="38" spans="1:13">
      <c r="A38" t="str">
        <f>Sheet3!A38</f>
        <v>TR037</v>
      </c>
      <c r="B38" t="str">
        <f>Sheet3!B38</f>
        <v>C019</v>
      </c>
      <c r="C38" t="str">
        <f>_xlfn.XLOOKUP(B38,Sheet2!$A$2:$A$31,Sheet2!$B$2:$B$31,"Not Found")</f>
        <v>Risk Management</v>
      </c>
      <c r="D38" t="str">
        <f>_xlfn.XLOOKUP(B38,Sheet2!$A$2:$A$31,Sheet2!$C$2:$C$31,"Not Found")</f>
        <v xml:space="preserve">Finance </v>
      </c>
      <c r="E38" t="str">
        <f>_xlfn.XLOOKUP(B38,Sheet2!$A$2:$A$31,Sheet2!$D$2:$D$31,"Not Found")</f>
        <v>Beginner</v>
      </c>
      <c r="F38">
        <f>_xlfn.XLOOKUP(B38,Sheet2!$A$2:$A$31,Sheet2!$E$2:$E$31,"Not Found")</f>
        <v>4.5999999999999996</v>
      </c>
      <c r="G38" t="str">
        <f>Sheet3!C38</f>
        <v>T019</v>
      </c>
      <c r="H38" t="str">
        <f>_xlfn.XLOOKUP(G38,Sheet1!$A$2:$A$31,Sheet1!$B$2:$B$31,"Not Found")</f>
        <v>Sahil Kapoor</v>
      </c>
      <c r="I38" t="str">
        <f>_xlfn.XLOOKUP(G38,Sheet1!$A$2:$A$31,Sheet1!$D$2:$D$31,"Not Found")</f>
        <v xml:space="preserve">Male </v>
      </c>
      <c r="J38">
        <f>_xlfn.XLOOKUP(G38,Sheet1!$A$2:$A$31,Sheet1!$C$2:$C$31,"Not Found")</f>
        <v>39</v>
      </c>
      <c r="K38" t="str">
        <f>_xlfn.XLOOKUP(G38,Sheet1!$A$2:$A$31,Sheet1!$E$2:$E$31,"Not Found")</f>
        <v>Technology</v>
      </c>
      <c r="L38">
        <f>_xlfn.XLOOKUP(G38,Sheet1!$A$2:$A$31,Sheet1!$F$2:$F$31,"Not Found")</f>
        <v>15</v>
      </c>
      <c r="M38">
        <f>_xlfn.XLOOKUP(G38,Sheet1!$A$2:$A$31,Sheet1!$G$2:$G$31,"Not Found")</f>
        <v>3.7</v>
      </c>
    </row>
    <row r="39" spans="1:13">
      <c r="A39" t="str">
        <f>Sheet3!A39</f>
        <v>TR038</v>
      </c>
      <c r="B39" t="str">
        <f>Sheet3!B39</f>
        <v>C020</v>
      </c>
      <c r="C39" t="str">
        <f>_xlfn.XLOOKUP(B39,Sheet2!$A$2:$A$31,Sheet2!$B$2:$B$31,"Not Found")</f>
        <v>Cloud Computing</v>
      </c>
      <c r="D39" t="str">
        <f>_xlfn.XLOOKUP(B39,Sheet2!$A$2:$A$31,Sheet2!$C$2:$C$31,"Not Found")</f>
        <v>Technology</v>
      </c>
      <c r="E39" t="str">
        <f>_xlfn.XLOOKUP(B39,Sheet2!$A$2:$A$31,Sheet2!$D$2:$D$31,"Not Found")</f>
        <v>Intermediate</v>
      </c>
      <c r="F39">
        <f>_xlfn.XLOOKUP(B39,Sheet2!$A$2:$A$31,Sheet2!$E$2:$E$31,"Not Found")</f>
        <v>4.5</v>
      </c>
      <c r="G39" t="str">
        <f>Sheet3!C39</f>
        <v>T020</v>
      </c>
      <c r="H39" t="str">
        <f>_xlfn.XLOOKUP(G39,Sheet1!$A$2:$A$31,Sheet1!$B$2:$B$31,"Not Found")</f>
        <v>Meera Iyer</v>
      </c>
      <c r="I39" t="str">
        <f>_xlfn.XLOOKUP(G39,Sheet1!$A$2:$A$31,Sheet1!$D$2:$D$31,"Not Found")</f>
        <v>Female</v>
      </c>
      <c r="J39">
        <f>_xlfn.XLOOKUP(G39,Sheet1!$A$2:$A$31,Sheet1!$C$2:$C$31,"Not Found")</f>
        <v>38</v>
      </c>
      <c r="K39" t="str">
        <f>_xlfn.XLOOKUP(G39,Sheet1!$A$2:$A$31,Sheet1!$E$2:$E$31,"Not Found")</f>
        <v>Management</v>
      </c>
      <c r="L39">
        <f>_xlfn.XLOOKUP(G39,Sheet1!$A$2:$A$31,Sheet1!$F$2:$F$31,"Not Found")</f>
        <v>11</v>
      </c>
      <c r="M39">
        <f>_xlfn.XLOOKUP(G39,Sheet1!$A$2:$A$31,Sheet1!$G$2:$G$31,"Not Found")</f>
        <v>3.8</v>
      </c>
    </row>
    <row r="40" spans="1:13">
      <c r="A40" t="str">
        <f>Sheet3!A40</f>
        <v>TR039</v>
      </c>
      <c r="B40" t="str">
        <f>Sheet3!B40</f>
        <v>C020</v>
      </c>
      <c r="C40" t="str">
        <f>_xlfn.XLOOKUP(B40,Sheet2!$A$2:$A$31,Sheet2!$B$2:$B$31,"Not Found")</f>
        <v>Cloud Computing</v>
      </c>
      <c r="D40" t="str">
        <f>_xlfn.XLOOKUP(B40,Sheet2!$A$2:$A$31,Sheet2!$C$2:$C$31,"Not Found")</f>
        <v>Technology</v>
      </c>
      <c r="E40" t="str">
        <f>_xlfn.XLOOKUP(B40,Sheet2!$A$2:$A$31,Sheet2!$D$2:$D$31,"Not Found")</f>
        <v>Intermediate</v>
      </c>
      <c r="F40">
        <f>_xlfn.XLOOKUP(B40,Sheet2!$A$2:$A$31,Sheet2!$E$2:$E$31,"Not Found")</f>
        <v>4.5</v>
      </c>
      <c r="G40" t="str">
        <f>Sheet3!C40</f>
        <v>T020</v>
      </c>
      <c r="H40" t="str">
        <f>_xlfn.XLOOKUP(G40,Sheet1!$A$2:$A$31,Sheet1!$B$2:$B$31,"Not Found")</f>
        <v>Meera Iyer</v>
      </c>
      <c r="I40" t="str">
        <f>_xlfn.XLOOKUP(G40,Sheet1!$A$2:$A$31,Sheet1!$D$2:$D$31,"Not Found")</f>
        <v>Female</v>
      </c>
      <c r="J40">
        <f>_xlfn.XLOOKUP(G40,Sheet1!$A$2:$A$31,Sheet1!$C$2:$C$31,"Not Found")</f>
        <v>38</v>
      </c>
      <c r="K40" t="str">
        <f>_xlfn.XLOOKUP(G40,Sheet1!$A$2:$A$31,Sheet1!$E$2:$E$31,"Not Found")</f>
        <v>Management</v>
      </c>
      <c r="L40">
        <f>_xlfn.XLOOKUP(G40,Sheet1!$A$2:$A$31,Sheet1!$F$2:$F$31,"Not Found")</f>
        <v>11</v>
      </c>
      <c r="M40">
        <f>_xlfn.XLOOKUP(G40,Sheet1!$A$2:$A$31,Sheet1!$G$2:$G$31,"Not Found")</f>
        <v>3.8</v>
      </c>
    </row>
    <row r="41" spans="1:13">
      <c r="A41" t="str">
        <f>Sheet3!A41</f>
        <v>TR040</v>
      </c>
      <c r="B41" t="str">
        <f>Sheet3!B41</f>
        <v>C021</v>
      </c>
      <c r="C41" t="str">
        <f>_xlfn.XLOOKUP(B41,Sheet2!$A$2:$A$31,Sheet2!$B$2:$B$31,"Not Found")</f>
        <v>Project Management</v>
      </c>
      <c r="D41" t="str">
        <f>_xlfn.XLOOKUP(B41,Sheet2!$A$2:$A$31,Sheet2!$C$2:$C$31,"Not Found")</f>
        <v>Management</v>
      </c>
      <c r="E41" t="str">
        <f>_xlfn.XLOOKUP(B41,Sheet2!$A$2:$A$31,Sheet2!$D$2:$D$31,"Not Found")</f>
        <v xml:space="preserve">Advanced </v>
      </c>
      <c r="F41">
        <f>_xlfn.XLOOKUP(B41,Sheet2!$A$2:$A$31,Sheet2!$E$2:$E$31,"Not Found")</f>
        <v>4.7</v>
      </c>
      <c r="G41" t="str">
        <f>Sheet3!C41</f>
        <v>T021</v>
      </c>
      <c r="H41" t="str">
        <f>_xlfn.XLOOKUP(G41,Sheet1!$A$2:$A$31,Sheet1!$B$2:$B$31,"Not Found")</f>
        <v xml:space="preserve">Varun Saxena </v>
      </c>
      <c r="I41" t="str">
        <f>_xlfn.XLOOKUP(G41,Sheet1!$A$2:$A$31,Sheet1!$D$2:$D$31,"Not Found")</f>
        <v xml:space="preserve">Male </v>
      </c>
      <c r="J41">
        <f>_xlfn.XLOOKUP(G41,Sheet1!$A$2:$A$31,Sheet1!$C$2:$C$31,"Not Found")</f>
        <v>29</v>
      </c>
      <c r="K41" t="str">
        <f>_xlfn.XLOOKUP(G41,Sheet1!$A$2:$A$31,Sheet1!$E$2:$E$31,"Not Found")</f>
        <v>Design</v>
      </c>
      <c r="L41">
        <f>_xlfn.XLOOKUP(G41,Sheet1!$A$2:$A$31,Sheet1!$F$2:$F$31,"Not Found")</f>
        <v>3</v>
      </c>
      <c r="M41">
        <f>_xlfn.XLOOKUP(G41,Sheet1!$A$2:$A$31,Sheet1!$G$2:$G$31,"Not Found")</f>
        <v>3.2</v>
      </c>
    </row>
    <row r="42" spans="1:13">
      <c r="A42" t="str">
        <f>Sheet3!A42</f>
        <v>TR041</v>
      </c>
      <c r="B42" t="str">
        <f>Sheet3!B42</f>
        <v>C021</v>
      </c>
      <c r="C42" t="str">
        <f>_xlfn.XLOOKUP(B42,Sheet2!$A$2:$A$31,Sheet2!$B$2:$B$31,"Not Found")</f>
        <v>Project Management</v>
      </c>
      <c r="D42" t="str">
        <f>_xlfn.XLOOKUP(B42,Sheet2!$A$2:$A$31,Sheet2!$C$2:$C$31,"Not Found")</f>
        <v>Management</v>
      </c>
      <c r="E42" t="str">
        <f>_xlfn.XLOOKUP(B42,Sheet2!$A$2:$A$31,Sheet2!$D$2:$D$31,"Not Found")</f>
        <v xml:space="preserve">Advanced </v>
      </c>
      <c r="F42">
        <f>_xlfn.XLOOKUP(B42,Sheet2!$A$2:$A$31,Sheet2!$E$2:$E$31,"Not Found")</f>
        <v>4.7</v>
      </c>
      <c r="G42" t="str">
        <f>Sheet3!C42</f>
        <v>T021</v>
      </c>
      <c r="H42" t="str">
        <f>_xlfn.XLOOKUP(G42,Sheet1!$A$2:$A$31,Sheet1!$B$2:$B$31,"Not Found")</f>
        <v xml:space="preserve">Varun Saxena </v>
      </c>
      <c r="I42" t="str">
        <f>_xlfn.XLOOKUP(G42,Sheet1!$A$2:$A$31,Sheet1!$D$2:$D$31,"Not Found")</f>
        <v xml:space="preserve">Male </v>
      </c>
      <c r="J42">
        <f>_xlfn.XLOOKUP(G42,Sheet1!$A$2:$A$31,Sheet1!$C$2:$C$31,"Not Found")</f>
        <v>29</v>
      </c>
      <c r="K42" t="str">
        <f>_xlfn.XLOOKUP(G42,Sheet1!$A$2:$A$31,Sheet1!$E$2:$E$31,"Not Found")</f>
        <v>Design</v>
      </c>
      <c r="L42">
        <f>_xlfn.XLOOKUP(G42,Sheet1!$A$2:$A$31,Sheet1!$F$2:$F$31,"Not Found")</f>
        <v>3</v>
      </c>
      <c r="M42">
        <f>_xlfn.XLOOKUP(G42,Sheet1!$A$2:$A$31,Sheet1!$G$2:$G$31,"Not Found")</f>
        <v>3.2</v>
      </c>
    </row>
    <row r="43" spans="1:13">
      <c r="A43" t="str">
        <f>Sheet3!A43</f>
        <v>TR042</v>
      </c>
      <c r="B43" t="str">
        <f>Sheet3!B43</f>
        <v>C022</v>
      </c>
      <c r="C43" t="str">
        <f>_xlfn.XLOOKUP(B43,Sheet2!$A$2:$A$31,Sheet2!$B$2:$B$31,"Not Found")</f>
        <v>Consumer Behaviour</v>
      </c>
      <c r="D43" t="str">
        <f>_xlfn.XLOOKUP(B43,Sheet2!$A$2:$A$31,Sheet2!$C$2:$C$31,"Not Found")</f>
        <v>Marketing</v>
      </c>
      <c r="E43" t="str">
        <f>_xlfn.XLOOKUP(B43,Sheet2!$A$2:$A$31,Sheet2!$D$2:$D$31,"Not Found")</f>
        <v>Beginner</v>
      </c>
      <c r="F43">
        <f>_xlfn.XLOOKUP(B43,Sheet2!$A$2:$A$31,Sheet2!$E$2:$E$31,"Not Found")</f>
        <v>4.3</v>
      </c>
      <c r="G43" t="str">
        <f>Sheet3!C43</f>
        <v>T022</v>
      </c>
      <c r="H43" t="str">
        <f>_xlfn.XLOOKUP(G43,Sheet1!$A$2:$A$31,Sheet1!$B$2:$B$31,"Not Found")</f>
        <v xml:space="preserve">Aditi Mishra </v>
      </c>
      <c r="I43" t="str">
        <f>_xlfn.XLOOKUP(G43,Sheet1!$A$2:$A$31,Sheet1!$D$2:$D$31,"Not Found")</f>
        <v>Female</v>
      </c>
      <c r="J43">
        <f>_xlfn.XLOOKUP(G43,Sheet1!$A$2:$A$31,Sheet1!$C$2:$C$31,"Not Found")</f>
        <v>39</v>
      </c>
      <c r="K43" t="str">
        <f>_xlfn.XLOOKUP(G43,Sheet1!$A$2:$A$31,Sheet1!$E$2:$E$31,"Not Found")</f>
        <v>Data Science</v>
      </c>
      <c r="L43">
        <f>_xlfn.XLOOKUP(G43,Sheet1!$A$2:$A$31,Sheet1!$F$2:$F$31,"Not Found")</f>
        <v>5</v>
      </c>
      <c r="M43">
        <f>_xlfn.XLOOKUP(G43,Sheet1!$A$2:$A$31,Sheet1!$G$2:$G$31,"Not Found")</f>
        <v>3.6</v>
      </c>
    </row>
    <row r="44" spans="1:13">
      <c r="A44" t="str">
        <f>Sheet3!A44</f>
        <v>TR043</v>
      </c>
      <c r="B44" t="str">
        <f>Sheet3!B44</f>
        <v>C022</v>
      </c>
      <c r="C44" t="str">
        <f>_xlfn.XLOOKUP(B44,Sheet2!$A$2:$A$31,Sheet2!$B$2:$B$31,"Not Found")</f>
        <v>Consumer Behaviour</v>
      </c>
      <c r="D44" t="str">
        <f>_xlfn.XLOOKUP(B44,Sheet2!$A$2:$A$31,Sheet2!$C$2:$C$31,"Not Found")</f>
        <v>Marketing</v>
      </c>
      <c r="E44" t="str">
        <f>_xlfn.XLOOKUP(B44,Sheet2!$A$2:$A$31,Sheet2!$D$2:$D$31,"Not Found")</f>
        <v>Beginner</v>
      </c>
      <c r="F44">
        <f>_xlfn.XLOOKUP(B44,Sheet2!$A$2:$A$31,Sheet2!$E$2:$E$31,"Not Found")</f>
        <v>4.3</v>
      </c>
      <c r="G44" t="str">
        <f>Sheet3!C44</f>
        <v>T022</v>
      </c>
      <c r="H44" t="str">
        <f>_xlfn.XLOOKUP(G44,Sheet1!$A$2:$A$31,Sheet1!$B$2:$B$31,"Not Found")</f>
        <v xml:space="preserve">Aditi Mishra </v>
      </c>
      <c r="I44" t="str">
        <f>_xlfn.XLOOKUP(G44,Sheet1!$A$2:$A$31,Sheet1!$D$2:$D$31,"Not Found")</f>
        <v>Female</v>
      </c>
      <c r="J44">
        <f>_xlfn.XLOOKUP(G44,Sheet1!$A$2:$A$31,Sheet1!$C$2:$C$31,"Not Found")</f>
        <v>39</v>
      </c>
      <c r="K44" t="str">
        <f>_xlfn.XLOOKUP(G44,Sheet1!$A$2:$A$31,Sheet1!$E$2:$E$31,"Not Found")</f>
        <v>Data Science</v>
      </c>
      <c r="L44">
        <f>_xlfn.XLOOKUP(G44,Sheet1!$A$2:$A$31,Sheet1!$F$2:$F$31,"Not Found")</f>
        <v>5</v>
      </c>
      <c r="M44">
        <f>_xlfn.XLOOKUP(G44,Sheet1!$A$2:$A$31,Sheet1!$G$2:$G$31,"Not Found")</f>
        <v>3.6</v>
      </c>
    </row>
    <row r="45" spans="1:13">
      <c r="A45" t="str">
        <f>Sheet3!A45</f>
        <v>TR044</v>
      </c>
      <c r="B45" t="str">
        <f>Sheet3!B45</f>
        <v>C023</v>
      </c>
      <c r="C45" t="str">
        <f>_xlfn.XLOOKUP(B45,Sheet2!$A$2:$A$31,Sheet2!$B$2:$B$31,"Not Found")</f>
        <v>Power BI Analytics</v>
      </c>
      <c r="D45" t="str">
        <f>_xlfn.XLOOKUP(B45,Sheet2!$A$2:$A$31,Sheet2!$C$2:$C$31,"Not Found")</f>
        <v>Business Analytics</v>
      </c>
      <c r="E45" t="str">
        <f>_xlfn.XLOOKUP(B45,Sheet2!$A$2:$A$31,Sheet2!$D$2:$D$31,"Not Found")</f>
        <v>Intermediate</v>
      </c>
      <c r="F45">
        <f>_xlfn.XLOOKUP(B45,Sheet2!$A$2:$A$31,Sheet2!$E$2:$E$31,"Not Found")</f>
        <v>4.8</v>
      </c>
      <c r="G45" t="str">
        <f>Sheet3!C45</f>
        <v>T023</v>
      </c>
      <c r="H45" t="str">
        <f>_xlfn.XLOOKUP(G45,Sheet1!$A$2:$A$31,Sheet1!$B$2:$B$31,"Not Found")</f>
        <v>Yash Patel</v>
      </c>
      <c r="I45" t="str">
        <f>_xlfn.XLOOKUP(G45,Sheet1!$A$2:$A$31,Sheet1!$D$2:$D$31,"Not Found")</f>
        <v xml:space="preserve">Male </v>
      </c>
      <c r="J45">
        <f>_xlfn.XLOOKUP(G45,Sheet1!$A$2:$A$31,Sheet1!$C$2:$C$31,"Not Found")</f>
        <v>40</v>
      </c>
      <c r="K45" t="str">
        <f>_xlfn.XLOOKUP(G45,Sheet1!$A$2:$A$31,Sheet1!$E$2:$E$31,"Not Found")</f>
        <v>Business Analytics</v>
      </c>
      <c r="L45">
        <f>_xlfn.XLOOKUP(G45,Sheet1!$A$2:$A$31,Sheet1!$F$2:$F$31,"Not Found")</f>
        <v>11</v>
      </c>
      <c r="M45">
        <f>_xlfn.XLOOKUP(G45,Sheet1!$A$2:$A$31,Sheet1!$G$2:$G$31,"Not Found")</f>
        <v>3.8</v>
      </c>
    </row>
    <row r="46" spans="1:13">
      <c r="A46" t="str">
        <f>Sheet3!A46</f>
        <v>TR045</v>
      </c>
      <c r="B46" t="str">
        <f>Sheet3!B46</f>
        <v>C023</v>
      </c>
      <c r="C46" t="str">
        <f>_xlfn.XLOOKUP(B46,Sheet2!$A$2:$A$31,Sheet2!$B$2:$B$31,"Not Found")</f>
        <v>Power BI Analytics</v>
      </c>
      <c r="D46" t="str">
        <f>_xlfn.XLOOKUP(B46,Sheet2!$A$2:$A$31,Sheet2!$C$2:$C$31,"Not Found")</f>
        <v>Business Analytics</v>
      </c>
      <c r="E46" t="str">
        <f>_xlfn.XLOOKUP(B46,Sheet2!$A$2:$A$31,Sheet2!$D$2:$D$31,"Not Found")</f>
        <v>Intermediate</v>
      </c>
      <c r="F46">
        <f>_xlfn.XLOOKUP(B46,Sheet2!$A$2:$A$31,Sheet2!$E$2:$E$31,"Not Found")</f>
        <v>4.8</v>
      </c>
      <c r="G46" t="str">
        <f>Sheet3!C46</f>
        <v>T023</v>
      </c>
      <c r="H46" t="str">
        <f>_xlfn.XLOOKUP(G46,Sheet1!$A$2:$A$31,Sheet1!$B$2:$B$31,"Not Found")</f>
        <v>Yash Patel</v>
      </c>
      <c r="I46" t="str">
        <f>_xlfn.XLOOKUP(G46,Sheet1!$A$2:$A$31,Sheet1!$D$2:$D$31,"Not Found")</f>
        <v xml:space="preserve">Male </v>
      </c>
      <c r="J46">
        <f>_xlfn.XLOOKUP(G46,Sheet1!$A$2:$A$31,Sheet1!$C$2:$C$31,"Not Found")</f>
        <v>40</v>
      </c>
      <c r="K46" t="str">
        <f>_xlfn.XLOOKUP(G46,Sheet1!$A$2:$A$31,Sheet1!$E$2:$E$31,"Not Found")</f>
        <v>Business Analytics</v>
      </c>
      <c r="L46">
        <f>_xlfn.XLOOKUP(G46,Sheet1!$A$2:$A$31,Sheet1!$F$2:$F$31,"Not Found")</f>
        <v>11</v>
      </c>
      <c r="M46">
        <f>_xlfn.XLOOKUP(G46,Sheet1!$A$2:$A$31,Sheet1!$G$2:$G$31,"Not Found")</f>
        <v>3.8</v>
      </c>
    </row>
    <row r="47" spans="1:13">
      <c r="A47" t="str">
        <f>Sheet3!A47</f>
        <v>TR046</v>
      </c>
      <c r="B47" t="str">
        <f>Sheet3!B47</f>
        <v>C024</v>
      </c>
      <c r="C47" t="str">
        <f>_xlfn.XLOOKUP(B47,Sheet2!$A$2:$A$31,Sheet2!$B$2:$B$31,"Not Found")</f>
        <v>Artifical Intelligence</v>
      </c>
      <c r="D47" t="str">
        <f>_xlfn.XLOOKUP(B47,Sheet2!$A$2:$A$31,Sheet2!$C$2:$C$31,"Not Found")</f>
        <v>Data Science</v>
      </c>
      <c r="E47" t="str">
        <f>_xlfn.XLOOKUP(B47,Sheet2!$A$2:$A$31,Sheet2!$D$2:$D$31,"Not Found")</f>
        <v xml:space="preserve">Advanced </v>
      </c>
      <c r="F47">
        <f>_xlfn.XLOOKUP(B47,Sheet2!$A$2:$A$31,Sheet2!$E$2:$E$31,"Not Found")</f>
        <v>4.5999999999999996</v>
      </c>
      <c r="G47" t="str">
        <f>Sheet3!C47</f>
        <v>T024</v>
      </c>
      <c r="H47" t="str">
        <f>_xlfn.XLOOKUP(G47,Sheet1!$A$2:$A$31,Sheet1!$B$2:$B$31,"Not Found")</f>
        <v>Tanvi Desai</v>
      </c>
      <c r="I47" t="str">
        <f>_xlfn.XLOOKUP(G47,Sheet1!$A$2:$A$31,Sheet1!$D$2:$D$31,"Not Found")</f>
        <v>Female</v>
      </c>
      <c r="J47">
        <f>_xlfn.XLOOKUP(G47,Sheet1!$A$2:$A$31,Sheet1!$C$2:$C$31,"Not Found")</f>
        <v>31</v>
      </c>
      <c r="K47" t="str">
        <f>_xlfn.XLOOKUP(G47,Sheet1!$A$2:$A$31,Sheet1!$E$2:$E$31,"Not Found")</f>
        <v>Marketing</v>
      </c>
      <c r="L47">
        <f>_xlfn.XLOOKUP(G47,Sheet1!$A$2:$A$31,Sheet1!$F$2:$F$31,"Not Found")</f>
        <v>7</v>
      </c>
      <c r="M47">
        <f>_xlfn.XLOOKUP(G47,Sheet1!$A$2:$A$31,Sheet1!$G$2:$G$31,"Not Found")</f>
        <v>3.3</v>
      </c>
    </row>
    <row r="48" spans="1:13">
      <c r="A48" t="str">
        <f>Sheet3!A48</f>
        <v>TR047</v>
      </c>
      <c r="B48" t="str">
        <f>Sheet3!B48</f>
        <v>C024</v>
      </c>
      <c r="C48" t="str">
        <f>_xlfn.XLOOKUP(B48,Sheet2!$A$2:$A$31,Sheet2!$B$2:$B$31,"Not Found")</f>
        <v>Artifical Intelligence</v>
      </c>
      <c r="D48" t="str">
        <f>_xlfn.XLOOKUP(B48,Sheet2!$A$2:$A$31,Sheet2!$C$2:$C$31,"Not Found")</f>
        <v>Data Science</v>
      </c>
      <c r="E48" t="str">
        <f>_xlfn.XLOOKUP(B48,Sheet2!$A$2:$A$31,Sheet2!$D$2:$D$31,"Not Found")</f>
        <v xml:space="preserve">Advanced </v>
      </c>
      <c r="F48">
        <f>_xlfn.XLOOKUP(B48,Sheet2!$A$2:$A$31,Sheet2!$E$2:$E$31,"Not Found")</f>
        <v>4.5999999999999996</v>
      </c>
      <c r="G48" t="str">
        <f>Sheet3!C48</f>
        <v>T024</v>
      </c>
      <c r="H48" t="str">
        <f>_xlfn.XLOOKUP(G48,Sheet1!$A$2:$A$31,Sheet1!$B$2:$B$31,"Not Found")</f>
        <v>Tanvi Desai</v>
      </c>
      <c r="I48" t="str">
        <f>_xlfn.XLOOKUP(G48,Sheet1!$A$2:$A$31,Sheet1!$D$2:$D$31,"Not Found")</f>
        <v>Female</v>
      </c>
      <c r="J48">
        <f>_xlfn.XLOOKUP(G48,Sheet1!$A$2:$A$31,Sheet1!$C$2:$C$31,"Not Found")</f>
        <v>31</v>
      </c>
      <c r="K48" t="str">
        <f>_xlfn.XLOOKUP(G48,Sheet1!$A$2:$A$31,Sheet1!$E$2:$E$31,"Not Found")</f>
        <v>Marketing</v>
      </c>
      <c r="L48">
        <f>_xlfn.XLOOKUP(G48,Sheet1!$A$2:$A$31,Sheet1!$F$2:$F$31,"Not Found")</f>
        <v>7</v>
      </c>
      <c r="M48">
        <f>_xlfn.XLOOKUP(G48,Sheet1!$A$2:$A$31,Sheet1!$G$2:$G$31,"Not Found")</f>
        <v>3.3</v>
      </c>
    </row>
    <row r="49" spans="1:13">
      <c r="A49" t="str">
        <f>Sheet3!A49</f>
        <v>TR048</v>
      </c>
      <c r="B49" t="str">
        <f>Sheet3!B49</f>
        <v>C025</v>
      </c>
      <c r="C49" t="str">
        <f>_xlfn.XLOOKUP(B49,Sheet2!$A$2:$A$31,Sheet2!$B$2:$B$31,"Not Found")</f>
        <v>Accounting Essentials</v>
      </c>
      <c r="D49" t="str">
        <f>_xlfn.XLOOKUP(B49,Sheet2!$A$2:$A$31,Sheet2!$C$2:$C$31,"Not Found")</f>
        <v xml:space="preserve">Finance </v>
      </c>
      <c r="E49" t="str">
        <f>_xlfn.XLOOKUP(B49,Sheet2!$A$2:$A$31,Sheet2!$D$2:$D$31,"Not Found")</f>
        <v>Beginner</v>
      </c>
      <c r="F49">
        <f>_xlfn.XLOOKUP(B49,Sheet2!$A$2:$A$31,Sheet2!$E$2:$E$31,"Not Found")</f>
        <v>4.5</v>
      </c>
      <c r="G49" t="str">
        <f>Sheet3!C49</f>
        <v>T025</v>
      </c>
      <c r="H49" t="str">
        <f>_xlfn.XLOOKUP(G49,Sheet1!$A$2:$A$31,Sheet1!$B$2:$B$31,"Not Found")</f>
        <v>Mohit TIwari</v>
      </c>
      <c r="I49" t="str">
        <f>_xlfn.XLOOKUP(G49,Sheet1!$A$2:$A$31,Sheet1!$D$2:$D$31,"Not Found")</f>
        <v xml:space="preserve">Male </v>
      </c>
      <c r="J49">
        <f>_xlfn.XLOOKUP(G49,Sheet1!$A$2:$A$31,Sheet1!$C$2:$C$31,"Not Found")</f>
        <v>40</v>
      </c>
      <c r="K49" t="str">
        <f>_xlfn.XLOOKUP(G49,Sheet1!$A$2:$A$31,Sheet1!$E$2:$E$31,"Not Found")</f>
        <v>Finance</v>
      </c>
      <c r="L49">
        <f>_xlfn.XLOOKUP(G49,Sheet1!$A$2:$A$31,Sheet1!$F$2:$F$31,"Not Found")</f>
        <v>11</v>
      </c>
      <c r="M49">
        <f>_xlfn.XLOOKUP(G49,Sheet1!$A$2:$A$31,Sheet1!$G$2:$G$31,"Not Found")</f>
        <v>4.2</v>
      </c>
    </row>
    <row r="50" spans="1:13">
      <c r="A50" t="str">
        <f>Sheet3!A50</f>
        <v>TR049</v>
      </c>
      <c r="B50" t="str">
        <f>Sheet3!B50</f>
        <v>C025</v>
      </c>
      <c r="C50" t="str">
        <f>_xlfn.XLOOKUP(B50,Sheet2!$A$2:$A$31,Sheet2!$B$2:$B$31,"Not Found")</f>
        <v>Accounting Essentials</v>
      </c>
      <c r="D50" t="str">
        <f>_xlfn.XLOOKUP(B50,Sheet2!$A$2:$A$31,Sheet2!$C$2:$C$31,"Not Found")</f>
        <v xml:space="preserve">Finance </v>
      </c>
      <c r="E50" t="str">
        <f>_xlfn.XLOOKUP(B50,Sheet2!$A$2:$A$31,Sheet2!$D$2:$D$31,"Not Found")</f>
        <v>Beginner</v>
      </c>
      <c r="F50">
        <f>_xlfn.XLOOKUP(B50,Sheet2!$A$2:$A$31,Sheet2!$E$2:$E$31,"Not Found")</f>
        <v>4.5</v>
      </c>
      <c r="G50" t="str">
        <f>Sheet3!C50</f>
        <v>T025</v>
      </c>
      <c r="H50" t="str">
        <f>_xlfn.XLOOKUP(G50,Sheet1!$A$2:$A$31,Sheet1!$B$2:$B$31,"Not Found")</f>
        <v>Mohit TIwari</v>
      </c>
      <c r="I50" t="str">
        <f>_xlfn.XLOOKUP(G50,Sheet1!$A$2:$A$31,Sheet1!$D$2:$D$31,"Not Found")</f>
        <v xml:space="preserve">Male </v>
      </c>
      <c r="J50">
        <f>_xlfn.XLOOKUP(G50,Sheet1!$A$2:$A$31,Sheet1!$C$2:$C$31,"Not Found")</f>
        <v>40</v>
      </c>
      <c r="K50" t="str">
        <f>_xlfn.XLOOKUP(G50,Sheet1!$A$2:$A$31,Sheet1!$E$2:$E$31,"Not Found")</f>
        <v>Finance</v>
      </c>
      <c r="L50">
        <f>_xlfn.XLOOKUP(G50,Sheet1!$A$2:$A$31,Sheet1!$F$2:$F$31,"Not Found")</f>
        <v>11</v>
      </c>
      <c r="M50">
        <f>_xlfn.XLOOKUP(G50,Sheet1!$A$2:$A$31,Sheet1!$G$2:$G$31,"Not Found")</f>
        <v>4.2</v>
      </c>
    </row>
    <row r="51" spans="1:13">
      <c r="A51" t="str">
        <f>Sheet3!A51</f>
        <v>TR050</v>
      </c>
      <c r="B51" t="str">
        <f>Sheet3!B51</f>
        <v>C026</v>
      </c>
      <c r="C51" t="str">
        <f>_xlfn.XLOOKUP(B51,Sheet2!$A$2:$A$31,Sheet2!$B$2:$B$31,"Not Found")</f>
        <v>Talent Management</v>
      </c>
      <c r="D51" t="str">
        <f>_xlfn.XLOOKUP(B51,Sheet2!$A$2:$A$31,Sheet2!$C$2:$C$31,"Not Found")</f>
        <v>Human Resource</v>
      </c>
      <c r="E51" t="str">
        <f>_xlfn.XLOOKUP(B51,Sheet2!$A$2:$A$31,Sheet2!$D$2:$D$31,"Not Found")</f>
        <v>Intermediate</v>
      </c>
      <c r="F51">
        <f>_xlfn.XLOOKUP(B51,Sheet2!$A$2:$A$31,Sheet2!$E$2:$E$31,"Not Found")</f>
        <v>4.4000000000000004</v>
      </c>
      <c r="G51" t="str">
        <f>Sheet3!C51</f>
        <v>T026</v>
      </c>
      <c r="H51" t="str">
        <f>_xlfn.XLOOKUP(G51,Sheet1!$A$2:$A$31,Sheet1!$B$2:$B$31,"Not Found")</f>
        <v>Shreya Roy</v>
      </c>
      <c r="I51" t="str">
        <f>_xlfn.XLOOKUP(G51,Sheet1!$A$2:$A$31,Sheet1!$D$2:$D$31,"Not Found")</f>
        <v>Female</v>
      </c>
      <c r="J51">
        <f>_xlfn.XLOOKUP(G51,Sheet1!$A$2:$A$31,Sheet1!$C$2:$C$31,"Not Found")</f>
        <v>48</v>
      </c>
      <c r="K51" t="str">
        <f>_xlfn.XLOOKUP(G51,Sheet1!$A$2:$A$31,Sheet1!$E$2:$E$31,"Not Found")</f>
        <v>Technology</v>
      </c>
      <c r="L51">
        <f>_xlfn.XLOOKUP(G51,Sheet1!$A$2:$A$31,Sheet1!$F$2:$F$31,"Not Found")</f>
        <v>13</v>
      </c>
      <c r="M51">
        <f>_xlfn.XLOOKUP(G51,Sheet1!$A$2:$A$31,Sheet1!$G$2:$G$31,"Not Found")</f>
        <v>3.9</v>
      </c>
    </row>
    <row r="52" spans="1:13">
      <c r="A52" t="str">
        <f>Sheet3!A52</f>
        <v>TR051</v>
      </c>
      <c r="B52" t="str">
        <f>Sheet3!B52</f>
        <v>C026</v>
      </c>
      <c r="C52" t="str">
        <f>_xlfn.XLOOKUP(B52,Sheet2!$A$2:$A$31,Sheet2!$B$2:$B$31,"Not Found")</f>
        <v>Talent Management</v>
      </c>
      <c r="D52" t="str">
        <f>_xlfn.XLOOKUP(B52,Sheet2!$A$2:$A$31,Sheet2!$C$2:$C$31,"Not Found")</f>
        <v>Human Resource</v>
      </c>
      <c r="E52" t="str">
        <f>_xlfn.XLOOKUP(B52,Sheet2!$A$2:$A$31,Sheet2!$D$2:$D$31,"Not Found")</f>
        <v>Intermediate</v>
      </c>
      <c r="F52">
        <f>_xlfn.XLOOKUP(B52,Sheet2!$A$2:$A$31,Sheet2!$E$2:$E$31,"Not Found")</f>
        <v>4.4000000000000004</v>
      </c>
      <c r="G52" t="str">
        <f>Sheet3!C52</f>
        <v>T026</v>
      </c>
      <c r="H52" t="str">
        <f>_xlfn.XLOOKUP(G52,Sheet1!$A$2:$A$31,Sheet1!$B$2:$B$31,"Not Found")</f>
        <v>Shreya Roy</v>
      </c>
      <c r="I52" t="str">
        <f>_xlfn.XLOOKUP(G52,Sheet1!$A$2:$A$31,Sheet1!$D$2:$D$31,"Not Found")</f>
        <v>Female</v>
      </c>
      <c r="J52">
        <f>_xlfn.XLOOKUP(G52,Sheet1!$A$2:$A$31,Sheet1!$C$2:$C$31,"Not Found")</f>
        <v>48</v>
      </c>
      <c r="K52" t="str">
        <f>_xlfn.XLOOKUP(G52,Sheet1!$A$2:$A$31,Sheet1!$E$2:$E$31,"Not Found")</f>
        <v>Technology</v>
      </c>
      <c r="L52">
        <f>_xlfn.XLOOKUP(G52,Sheet1!$A$2:$A$31,Sheet1!$F$2:$F$31,"Not Found")</f>
        <v>13</v>
      </c>
      <c r="M52">
        <f>_xlfn.XLOOKUP(G52,Sheet1!$A$2:$A$31,Sheet1!$G$2:$G$31,"Not Found")</f>
        <v>3.9</v>
      </c>
    </row>
    <row r="53" spans="1:13">
      <c r="A53" t="str">
        <f>Sheet3!A53</f>
        <v>TR052</v>
      </c>
      <c r="B53" t="str">
        <f>Sheet3!B53</f>
        <v>C027</v>
      </c>
      <c r="C53" t="str">
        <f>_xlfn.XLOOKUP(B53,Sheet2!$A$2:$A$31,Sheet2!$B$2:$B$31,"Not Found")</f>
        <v>Cyber Security</v>
      </c>
      <c r="D53" t="str">
        <f>_xlfn.XLOOKUP(B53,Sheet2!$A$2:$A$31,Sheet2!$C$2:$C$31,"Not Found")</f>
        <v>Technology</v>
      </c>
      <c r="E53" t="str">
        <f>_xlfn.XLOOKUP(B53,Sheet2!$A$2:$A$31,Sheet2!$D$2:$D$31,"Not Found")</f>
        <v xml:space="preserve">Advanced </v>
      </c>
      <c r="F53">
        <f>_xlfn.XLOOKUP(B53,Sheet2!$A$2:$A$31,Sheet2!$E$2:$E$31,"Not Found")</f>
        <v>4.7</v>
      </c>
      <c r="G53" t="str">
        <f>Sheet3!C53</f>
        <v>T027</v>
      </c>
      <c r="H53" t="str">
        <f>_xlfn.XLOOKUP(G53,Sheet1!$A$2:$A$31,Sheet1!$B$2:$B$31,"Not Found")</f>
        <v>Akash Choudhary</v>
      </c>
      <c r="I53" t="str">
        <f>_xlfn.XLOOKUP(G53,Sheet1!$A$2:$A$31,Sheet1!$D$2:$D$31,"Not Found")</f>
        <v xml:space="preserve">Male </v>
      </c>
      <c r="J53">
        <f>_xlfn.XLOOKUP(G53,Sheet1!$A$2:$A$31,Sheet1!$C$2:$C$31,"Not Found")</f>
        <v>27</v>
      </c>
      <c r="K53" t="str">
        <f>_xlfn.XLOOKUP(G53,Sheet1!$A$2:$A$31,Sheet1!$E$2:$E$31,"Not Found")</f>
        <v>Management</v>
      </c>
      <c r="L53">
        <f>_xlfn.XLOOKUP(G53,Sheet1!$A$2:$A$31,Sheet1!$F$2:$F$31,"Not Found")</f>
        <v>4</v>
      </c>
      <c r="M53">
        <f>_xlfn.XLOOKUP(G53,Sheet1!$A$2:$A$31,Sheet1!$G$2:$G$31,"Not Found")</f>
        <v>3.5</v>
      </c>
    </row>
    <row r="54" spans="1:13">
      <c r="A54" t="str">
        <f>Sheet3!A54</f>
        <v>TR053</v>
      </c>
      <c r="B54" t="str">
        <f>Sheet3!B54</f>
        <v>C027</v>
      </c>
      <c r="C54" t="str">
        <f>_xlfn.XLOOKUP(B54,Sheet2!$A$2:$A$31,Sheet2!$B$2:$B$31,"Not Found")</f>
        <v>Cyber Security</v>
      </c>
      <c r="D54" t="str">
        <f>_xlfn.XLOOKUP(B54,Sheet2!$A$2:$A$31,Sheet2!$C$2:$C$31,"Not Found")</f>
        <v>Technology</v>
      </c>
      <c r="E54" t="str">
        <f>_xlfn.XLOOKUP(B54,Sheet2!$A$2:$A$31,Sheet2!$D$2:$D$31,"Not Found")</f>
        <v xml:space="preserve">Advanced </v>
      </c>
      <c r="F54">
        <f>_xlfn.XLOOKUP(B54,Sheet2!$A$2:$A$31,Sheet2!$E$2:$E$31,"Not Found")</f>
        <v>4.7</v>
      </c>
      <c r="G54" t="str">
        <f>Sheet3!C54</f>
        <v>T027</v>
      </c>
      <c r="H54" t="str">
        <f>_xlfn.XLOOKUP(G54,Sheet1!$A$2:$A$31,Sheet1!$B$2:$B$31,"Not Found")</f>
        <v>Akash Choudhary</v>
      </c>
      <c r="I54" t="str">
        <f>_xlfn.XLOOKUP(G54,Sheet1!$A$2:$A$31,Sheet1!$D$2:$D$31,"Not Found")</f>
        <v xml:space="preserve">Male </v>
      </c>
      <c r="J54">
        <f>_xlfn.XLOOKUP(G54,Sheet1!$A$2:$A$31,Sheet1!$C$2:$C$31,"Not Found")</f>
        <v>27</v>
      </c>
      <c r="K54" t="str">
        <f>_xlfn.XLOOKUP(G54,Sheet1!$A$2:$A$31,Sheet1!$E$2:$E$31,"Not Found")</f>
        <v>Management</v>
      </c>
      <c r="L54">
        <f>_xlfn.XLOOKUP(G54,Sheet1!$A$2:$A$31,Sheet1!$F$2:$F$31,"Not Found")</f>
        <v>4</v>
      </c>
      <c r="M54">
        <f>_xlfn.XLOOKUP(G54,Sheet1!$A$2:$A$31,Sheet1!$G$2:$G$31,"Not Found")</f>
        <v>3.5</v>
      </c>
    </row>
    <row r="55" spans="1:13">
      <c r="A55" t="str">
        <f>Sheet3!A55</f>
        <v>TR054</v>
      </c>
      <c r="B55" t="str">
        <f>Sheet3!B55</f>
        <v>C028</v>
      </c>
      <c r="C55" t="str">
        <f>_xlfn.XLOOKUP(B55,Sheet2!$A$2:$A$31,Sheet2!$B$2:$B$31,"Not Found")</f>
        <v xml:space="preserve">Operations Management </v>
      </c>
      <c r="D55" t="str">
        <f>_xlfn.XLOOKUP(B55,Sheet2!$A$2:$A$31,Sheet2!$C$2:$C$31,"Not Found")</f>
        <v>Management</v>
      </c>
      <c r="E55" t="str">
        <f>_xlfn.XLOOKUP(B55,Sheet2!$A$2:$A$31,Sheet2!$D$2:$D$31,"Not Found")</f>
        <v>Beginner</v>
      </c>
      <c r="F55">
        <f>_xlfn.XLOOKUP(B55,Sheet2!$A$2:$A$31,Sheet2!$E$2:$E$31,"Not Found")</f>
        <v>4.5</v>
      </c>
      <c r="G55" t="str">
        <f>Sheet3!C55</f>
        <v>T028</v>
      </c>
      <c r="H55" t="str">
        <f>_xlfn.XLOOKUP(G55,Sheet1!$A$2:$A$31,Sheet1!$B$2:$B$31,"Not Found")</f>
        <v>Divya Menon</v>
      </c>
      <c r="I55" t="str">
        <f>_xlfn.XLOOKUP(G55,Sheet1!$A$2:$A$31,Sheet1!$D$2:$D$31,"Not Found")</f>
        <v>Female</v>
      </c>
      <c r="J55">
        <f>_xlfn.XLOOKUP(G55,Sheet1!$A$2:$A$31,Sheet1!$C$2:$C$31,"Not Found")</f>
        <v>54</v>
      </c>
      <c r="K55" t="str">
        <f>_xlfn.XLOOKUP(G55,Sheet1!$A$2:$A$31,Sheet1!$E$2:$E$31,"Not Found")</f>
        <v>Design</v>
      </c>
      <c r="L55">
        <f>_xlfn.XLOOKUP(G55,Sheet1!$A$2:$A$31,Sheet1!$F$2:$F$31,"Not Found")</f>
        <v>13</v>
      </c>
      <c r="M55">
        <f>_xlfn.XLOOKUP(G55,Sheet1!$A$2:$A$31,Sheet1!$G$2:$G$31,"Not Found")</f>
        <v>3.7</v>
      </c>
    </row>
    <row r="56" spans="1:13">
      <c r="A56" t="str">
        <f>Sheet3!A56</f>
        <v>TR055</v>
      </c>
      <c r="B56" t="str">
        <f>Sheet3!B56</f>
        <v>C028</v>
      </c>
      <c r="C56" t="str">
        <f>_xlfn.XLOOKUP(B56,Sheet2!$A$2:$A$31,Sheet2!$B$2:$B$31,"Not Found")</f>
        <v xml:space="preserve">Operations Management </v>
      </c>
      <c r="D56" t="str">
        <f>_xlfn.XLOOKUP(B56,Sheet2!$A$2:$A$31,Sheet2!$C$2:$C$31,"Not Found")</f>
        <v>Management</v>
      </c>
      <c r="E56" t="str">
        <f>_xlfn.XLOOKUP(B56,Sheet2!$A$2:$A$31,Sheet2!$D$2:$D$31,"Not Found")</f>
        <v>Beginner</v>
      </c>
      <c r="F56">
        <f>_xlfn.XLOOKUP(B56,Sheet2!$A$2:$A$31,Sheet2!$E$2:$E$31,"Not Found")</f>
        <v>4.5</v>
      </c>
      <c r="G56" t="str">
        <f>Sheet3!C56</f>
        <v>T028</v>
      </c>
      <c r="H56" t="str">
        <f>_xlfn.XLOOKUP(G56,Sheet1!$A$2:$A$31,Sheet1!$B$2:$B$31,"Not Found")</f>
        <v>Divya Menon</v>
      </c>
      <c r="I56" t="str">
        <f>_xlfn.XLOOKUP(G56,Sheet1!$A$2:$A$31,Sheet1!$D$2:$D$31,"Not Found")</f>
        <v>Female</v>
      </c>
      <c r="J56">
        <f>_xlfn.XLOOKUP(G56,Sheet1!$A$2:$A$31,Sheet1!$C$2:$C$31,"Not Found")</f>
        <v>54</v>
      </c>
      <c r="K56" t="str">
        <f>_xlfn.XLOOKUP(G56,Sheet1!$A$2:$A$31,Sheet1!$E$2:$E$31,"Not Found")</f>
        <v>Design</v>
      </c>
      <c r="L56">
        <f>_xlfn.XLOOKUP(G56,Sheet1!$A$2:$A$31,Sheet1!$F$2:$F$31,"Not Found")</f>
        <v>13</v>
      </c>
      <c r="M56">
        <f>_xlfn.XLOOKUP(G56,Sheet1!$A$2:$A$31,Sheet1!$G$2:$G$31,"Not Found")</f>
        <v>3.7</v>
      </c>
    </row>
    <row r="57" spans="1:13">
      <c r="A57" t="str">
        <f>Sheet3!A57</f>
        <v>TR056</v>
      </c>
      <c r="B57" t="str">
        <f>Sheet3!B57</f>
        <v>C029</v>
      </c>
      <c r="C57" t="str">
        <f>_xlfn.XLOOKUP(B57,Sheet2!$A$2:$A$31,Sheet2!$B$2:$B$31,"Not Found")</f>
        <v>Advanced UI/UX Designs</v>
      </c>
      <c r="D57" t="str">
        <f>_xlfn.XLOOKUP(B57,Sheet2!$A$2:$A$31,Sheet2!$C$2:$C$31,"Not Found")</f>
        <v>Design</v>
      </c>
      <c r="E57" t="str">
        <f>_xlfn.XLOOKUP(B57,Sheet2!$A$2:$A$31,Sheet2!$D$2:$D$31,"Not Found")</f>
        <v>Intermediate</v>
      </c>
      <c r="F57">
        <f>_xlfn.XLOOKUP(B57,Sheet2!$A$2:$A$31,Sheet2!$E$2:$E$31,"Not Found")</f>
        <v>4.2</v>
      </c>
      <c r="G57" t="str">
        <f>Sheet3!C57</f>
        <v>T029</v>
      </c>
      <c r="H57" t="str">
        <f>_xlfn.XLOOKUP(G57,Sheet1!$A$2:$A$31,Sheet1!$B$2:$B$31,"Not Found")</f>
        <v>Harsh Vardhan</v>
      </c>
      <c r="I57" t="str">
        <f>_xlfn.XLOOKUP(G57,Sheet1!$A$2:$A$31,Sheet1!$D$2:$D$31,"Not Found")</f>
        <v xml:space="preserve">Male </v>
      </c>
      <c r="J57">
        <f>_xlfn.XLOOKUP(G57,Sheet1!$A$2:$A$31,Sheet1!$C$2:$C$31,"Not Found")</f>
        <v>28</v>
      </c>
      <c r="K57" t="str">
        <f>_xlfn.XLOOKUP(G57,Sheet1!$A$2:$A$31,Sheet1!$E$2:$E$31,"Not Found")</f>
        <v>Data Science</v>
      </c>
      <c r="L57">
        <f>_xlfn.XLOOKUP(G57,Sheet1!$A$2:$A$31,Sheet1!$F$2:$F$31,"Not Found")</f>
        <v>5</v>
      </c>
      <c r="M57">
        <f>_xlfn.XLOOKUP(G57,Sheet1!$A$2:$A$31,Sheet1!$G$2:$G$31,"Not Found")</f>
        <v>3.4</v>
      </c>
    </row>
    <row r="58" spans="1:13">
      <c r="A58" t="str">
        <f>Sheet3!A58</f>
        <v>TR057</v>
      </c>
      <c r="B58" t="str">
        <f>Sheet3!B58</f>
        <v>C029</v>
      </c>
      <c r="C58" t="str">
        <f>_xlfn.XLOOKUP(B58,Sheet2!$A$2:$A$31,Sheet2!$B$2:$B$31,"Not Found")</f>
        <v>Advanced UI/UX Designs</v>
      </c>
      <c r="D58" t="str">
        <f>_xlfn.XLOOKUP(B58,Sheet2!$A$2:$A$31,Sheet2!$C$2:$C$31,"Not Found")</f>
        <v>Design</v>
      </c>
      <c r="E58" t="str">
        <f>_xlfn.XLOOKUP(B58,Sheet2!$A$2:$A$31,Sheet2!$D$2:$D$31,"Not Found")</f>
        <v>Intermediate</v>
      </c>
      <c r="F58">
        <f>_xlfn.XLOOKUP(B58,Sheet2!$A$2:$A$31,Sheet2!$E$2:$E$31,"Not Found")</f>
        <v>4.2</v>
      </c>
      <c r="G58" t="str">
        <f>Sheet3!C58</f>
        <v>T029</v>
      </c>
      <c r="H58" t="str">
        <f>_xlfn.XLOOKUP(G58,Sheet1!$A$2:$A$31,Sheet1!$B$2:$B$31,"Not Found")</f>
        <v>Harsh Vardhan</v>
      </c>
      <c r="I58" t="str">
        <f>_xlfn.XLOOKUP(G58,Sheet1!$A$2:$A$31,Sheet1!$D$2:$D$31,"Not Found")</f>
        <v xml:space="preserve">Male </v>
      </c>
      <c r="J58">
        <f>_xlfn.XLOOKUP(G58,Sheet1!$A$2:$A$31,Sheet1!$C$2:$C$31,"Not Found")</f>
        <v>28</v>
      </c>
      <c r="K58" t="str">
        <f>_xlfn.XLOOKUP(G58,Sheet1!$A$2:$A$31,Sheet1!$E$2:$E$31,"Not Found")</f>
        <v>Data Science</v>
      </c>
      <c r="L58">
        <f>_xlfn.XLOOKUP(G58,Sheet1!$A$2:$A$31,Sheet1!$F$2:$F$31,"Not Found")</f>
        <v>5</v>
      </c>
      <c r="M58">
        <f>_xlfn.XLOOKUP(G58,Sheet1!$A$2:$A$31,Sheet1!$G$2:$G$31,"Not Found")</f>
        <v>3.4</v>
      </c>
    </row>
    <row r="59" spans="1:13">
      <c r="A59" t="str">
        <f>Sheet3!A59</f>
        <v>TR058</v>
      </c>
      <c r="B59" t="str">
        <f>Sheet3!B59</f>
        <v>C030</v>
      </c>
      <c r="C59" t="str">
        <f>_xlfn.XLOOKUP(B59,Sheet2!$A$2:$A$31,Sheet2!$B$2:$B$31,"Not Found")</f>
        <v xml:space="preserve">Predictive Analytics </v>
      </c>
      <c r="D59" t="str">
        <f>_xlfn.XLOOKUP(B59,Sheet2!$A$2:$A$31,Sheet2!$C$2:$C$31,"Not Found")</f>
        <v>Business Analytics</v>
      </c>
      <c r="E59" t="str">
        <f>_xlfn.XLOOKUP(B59,Sheet2!$A$2:$A$31,Sheet2!$D$2:$D$31,"Not Found")</f>
        <v xml:space="preserve">Advanced </v>
      </c>
      <c r="F59">
        <f>_xlfn.XLOOKUP(B59,Sheet2!$A$2:$A$31,Sheet2!$E$2:$E$31,"Not Found")</f>
        <v>4.8</v>
      </c>
      <c r="G59" t="str">
        <f>Sheet3!C59</f>
        <v>T030</v>
      </c>
      <c r="H59" t="str">
        <f>_xlfn.XLOOKUP(G59,Sheet1!$A$2:$A$31,Sheet1!$B$2:$B$31,"Not Found")</f>
        <v>Nandini Rao</v>
      </c>
      <c r="I59" t="str">
        <f>_xlfn.XLOOKUP(G59,Sheet1!$A$2:$A$31,Sheet1!$D$2:$D$31,"Not Found")</f>
        <v>Female</v>
      </c>
      <c r="J59">
        <f>_xlfn.XLOOKUP(G59,Sheet1!$A$2:$A$31,Sheet1!$C$2:$C$31,"Not Found")</f>
        <v>48</v>
      </c>
      <c r="K59" t="str">
        <f>_xlfn.XLOOKUP(G59,Sheet1!$A$2:$A$31,Sheet1!$E$2:$E$31,"Not Found")</f>
        <v>Business Analytics</v>
      </c>
      <c r="L59">
        <f>_xlfn.XLOOKUP(G59,Sheet1!$A$2:$A$31,Sheet1!$F$2:$F$31,"Not Found")</f>
        <v>9</v>
      </c>
      <c r="M59">
        <f>_xlfn.XLOOKUP(G59,Sheet1!$A$2:$A$31,Sheet1!$G$2:$G$31,"Not Found")</f>
        <v>3.5</v>
      </c>
    </row>
    <row r="60" spans="1:13">
      <c r="A60" t="str">
        <f>Sheet3!A60</f>
        <v>TR059</v>
      </c>
      <c r="B60" t="str">
        <f>Sheet3!B60</f>
        <v>C030</v>
      </c>
      <c r="C60" t="str">
        <f>_xlfn.XLOOKUP(B60,Sheet2!$A$2:$A$31,Sheet2!$B$2:$B$31,"Not Found")</f>
        <v xml:space="preserve">Predictive Analytics </v>
      </c>
      <c r="D60" t="str">
        <f>_xlfn.XLOOKUP(B60,Sheet2!$A$2:$A$31,Sheet2!$C$2:$C$31,"Not Found")</f>
        <v>Business Analytics</v>
      </c>
      <c r="E60" t="str">
        <f>_xlfn.XLOOKUP(B60,Sheet2!$A$2:$A$31,Sheet2!$D$2:$D$31,"Not Found")</f>
        <v xml:space="preserve">Advanced </v>
      </c>
      <c r="F60">
        <f>_xlfn.XLOOKUP(B60,Sheet2!$A$2:$A$31,Sheet2!$E$2:$E$31,"Not Found")</f>
        <v>4.8</v>
      </c>
      <c r="G60" t="str">
        <f>Sheet3!C60</f>
        <v>T030</v>
      </c>
      <c r="H60" t="str">
        <f>_xlfn.XLOOKUP(G60,Sheet1!$A$2:$A$31,Sheet1!$B$2:$B$31,"Not Found")</f>
        <v>Nandini Rao</v>
      </c>
      <c r="I60" t="str">
        <f>_xlfn.XLOOKUP(G60,Sheet1!$A$2:$A$31,Sheet1!$D$2:$D$31,"Not Found")</f>
        <v>Female</v>
      </c>
      <c r="J60">
        <f>_xlfn.XLOOKUP(G60,Sheet1!$A$2:$A$31,Sheet1!$C$2:$C$31,"Not Found")</f>
        <v>48</v>
      </c>
      <c r="K60" t="str">
        <f>_xlfn.XLOOKUP(G60,Sheet1!$A$2:$A$31,Sheet1!$E$2:$E$31,"Not Found")</f>
        <v>Business Analytics</v>
      </c>
      <c r="L60">
        <f>_xlfn.XLOOKUP(G60,Sheet1!$A$2:$A$31,Sheet1!$F$2:$F$31,"Not Found")</f>
        <v>9</v>
      </c>
      <c r="M60">
        <f>_xlfn.XLOOKUP(G60,Sheet1!$A$2:$A$31,Sheet1!$G$2:$G$31,"Not Found")</f>
        <v>3.5</v>
      </c>
    </row>
    <row r="61" spans="1:13">
      <c r="A61" t="str">
        <f>Sheet3!A61</f>
        <v>TR060</v>
      </c>
      <c r="B61" t="str">
        <f>Sheet3!B61</f>
        <v>C031</v>
      </c>
      <c r="C61" t="str">
        <f>_xlfn.XLOOKUP(B61,Sheet2!$A$2:$A$31,Sheet2!$B$2:$B$31,"Not Found")</f>
        <v>Not Found</v>
      </c>
      <c r="D61" t="str">
        <f>_xlfn.XLOOKUP(B61,Sheet2!$A$2:$A$31,Sheet2!$C$2:$C$31,"Not Found")</f>
        <v>Not Found</v>
      </c>
      <c r="E61" t="str">
        <f>_xlfn.XLOOKUP(B61,Sheet2!$A$2:$A$31,Sheet2!$D$2:$D$31,"Not Found")</f>
        <v>Not Found</v>
      </c>
      <c r="F61" t="str">
        <f>_xlfn.XLOOKUP(B61,Sheet2!$A$2:$A$31,Sheet2!$E$2:$E$31,"Not Found")</f>
        <v>Not Found</v>
      </c>
      <c r="G61" t="str">
        <f>Sheet3!C61</f>
        <v>T031</v>
      </c>
      <c r="H61" t="str">
        <f>_xlfn.XLOOKUP(G61,Sheet1!$A$2:$A$31,Sheet1!$B$2:$B$31,"Not Found")</f>
        <v>Not Found</v>
      </c>
      <c r="I61" t="str">
        <f>_xlfn.XLOOKUP(G61,Sheet1!$A$2:$A$31,Sheet1!$D$2:$D$31,"Not Found")</f>
        <v>Not Found</v>
      </c>
      <c r="J61" t="str">
        <f>_xlfn.XLOOKUP(G61,Sheet1!$A$2:$A$31,Sheet1!$C$2:$C$31,"Not Found")</f>
        <v>Not Found</v>
      </c>
      <c r="K61" t="str">
        <f>_xlfn.XLOOKUP(G61,Sheet1!$A$2:$A$31,Sheet1!$E$2:$E$31,"Not Found")</f>
        <v>Not Found</v>
      </c>
      <c r="L61" t="str">
        <f>_xlfn.XLOOKUP(G61,Sheet1!$A$2:$A$31,Sheet1!$F$2:$F$31,"Not Found")</f>
        <v>Not Found</v>
      </c>
      <c r="M61" t="str">
        <f>_xlfn.XLOOKUP(G61,Sheet1!$A$2:$A$31,Sheet1!$G$2:$G$31,"Not Found")</f>
        <v>Not Found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36098-F076-42FB-A951-0D0DD842AF5A}">
  <dimension ref="A1:C43"/>
  <sheetViews>
    <sheetView topLeftCell="A26" workbookViewId="0">
      <selection activeCell="F34" sqref="F34"/>
    </sheetView>
  </sheetViews>
  <sheetFormatPr defaultRowHeight="15"/>
  <cols>
    <col min="1" max="1" width="24.85546875" customWidth="1"/>
    <col min="2" max="2" width="13.85546875" customWidth="1"/>
    <col min="3" max="3" width="16.5703125" customWidth="1"/>
  </cols>
  <sheetData>
    <row r="1" spans="1:3">
      <c r="A1" t="s">
        <v>233</v>
      </c>
      <c r="B1" t="s">
        <v>234</v>
      </c>
    </row>
    <row r="2" spans="1:3">
      <c r="A2" t="s">
        <v>235</v>
      </c>
      <c r="B2">
        <f>AVERAGE(Sheet1!G2:G31)</f>
        <v>3.6433333333333335</v>
      </c>
    </row>
    <row r="3" spans="1:3">
      <c r="A3" t="s">
        <v>236</v>
      </c>
      <c r="B3">
        <f>AVERAGE(Sheet2!E2:E31)</f>
        <v>4.5100000000000007</v>
      </c>
    </row>
    <row r="4" spans="1:3">
      <c r="A4" t="s">
        <v>237</v>
      </c>
      <c r="B4">
        <f>AVERAGE(Sheet1!F2:F31)</f>
        <v>9.1999999999999993</v>
      </c>
    </row>
    <row r="5" spans="1:3">
      <c r="A5" t="s">
        <v>87</v>
      </c>
      <c r="B5">
        <f>MAX(Sheet1!G2:G31)</f>
        <v>4.2</v>
      </c>
    </row>
    <row r="6" spans="1:3">
      <c r="A6" t="s">
        <v>238</v>
      </c>
      <c r="B6">
        <f>MIN(Sheet1!G2:G31)</f>
        <v>3</v>
      </c>
    </row>
    <row r="8" spans="1:3">
      <c r="A8" t="s">
        <v>3</v>
      </c>
      <c r="B8" t="s">
        <v>239</v>
      </c>
      <c r="C8" t="s">
        <v>84</v>
      </c>
    </row>
    <row r="9" spans="1:3">
      <c r="A9" t="s">
        <v>81</v>
      </c>
      <c r="B9" cm="1">
        <f t="array" ref="B9">SUMPRODUCT(--(TRIM(Sheet1!D2:D31)="Male"))</f>
        <v>15</v>
      </c>
      <c r="C9" cm="1">
        <f t="array" ref="C9">SUMPRODUCT((TRIM(Sheet1!D2:D31)="Male")*Sheet1!G2:G31)/B9</f>
        <v>3.6599999999999997</v>
      </c>
    </row>
    <row r="10" spans="1:3">
      <c r="A10" t="s">
        <v>14</v>
      </c>
      <c r="B10" cm="1">
        <f t="array" ref="B10">SUMPRODUCT(--(TRIM(Sheet1!D2:D31)="Female"))</f>
        <v>15</v>
      </c>
      <c r="C10" cm="1">
        <f t="array" ref="C10">SUMPRODUCT((TRIM(Sheet1!D2:D31)="Female")*Sheet1!G2:G31)/B10</f>
        <v>3.626666666666666</v>
      </c>
    </row>
    <row r="13" spans="1:3">
      <c r="A13" t="s">
        <v>4</v>
      </c>
      <c r="B13" t="s">
        <v>239</v>
      </c>
      <c r="C13" t="s">
        <v>84</v>
      </c>
    </row>
    <row r="14" spans="1:3">
      <c r="A14" t="s">
        <v>11</v>
      </c>
      <c r="B14">
        <f>COUNTIF(Sheet1!E2:E31,A14)</f>
        <v>5</v>
      </c>
      <c r="C14">
        <f>AVERAGEIF(Sheet1!E2:E31,A14,Sheet1!G2:G31)</f>
        <v>3.46</v>
      </c>
    </row>
    <row r="15" spans="1:3">
      <c r="A15" t="s">
        <v>15</v>
      </c>
      <c r="B15">
        <f>COUNTIF(Sheet1!E3:E32,A15)</f>
        <v>5</v>
      </c>
      <c r="C15">
        <f>AVERAGEIF(Sheet1!E3:E32,A15,Sheet1!G3:G32)</f>
        <v>3.7</v>
      </c>
    </row>
    <row r="16" spans="1:3">
      <c r="A16" t="s">
        <v>18</v>
      </c>
      <c r="B16">
        <f>COUNTIF(Sheet1!E4:E33,A16)</f>
        <v>4</v>
      </c>
      <c r="C16">
        <f>AVERAGEIF(Sheet1!E4:E33,A16,Sheet1!G4:G33)</f>
        <v>3.3250000000000002</v>
      </c>
    </row>
    <row r="17" spans="1:3">
      <c r="A17" t="s">
        <v>21</v>
      </c>
      <c r="B17">
        <f>COUNTIF(Sheet1!E5:E34,A17)</f>
        <v>4</v>
      </c>
      <c r="C17">
        <f>AVERAGEIF(Sheet1!E5:E34,A17,Sheet1!G5:G34)</f>
        <v>4.0999999999999996</v>
      </c>
    </row>
    <row r="18" spans="1:3">
      <c r="A18" t="s">
        <v>24</v>
      </c>
      <c r="B18">
        <f>COUNTIF(Sheet1!E6:E35,A18)</f>
        <v>4</v>
      </c>
      <c r="C18">
        <f>AVERAGEIF(Sheet1!E6:E35,A18,Sheet1!G6:G35)</f>
        <v>3.7749999999999999</v>
      </c>
    </row>
    <row r="19" spans="1:3">
      <c r="A19" t="s">
        <v>27</v>
      </c>
      <c r="B19">
        <f>COUNTIF(Sheet1!E7:E36,A19)</f>
        <v>4</v>
      </c>
      <c r="C19">
        <f>AVERAGEIF(Sheet1!E7:E36,A19,Sheet1!G7:G36)</f>
        <v>3.7</v>
      </c>
    </row>
    <row r="20" spans="1:3">
      <c r="A20" t="s">
        <v>30</v>
      </c>
      <c r="B20">
        <f>COUNTIF(Sheet1!E8:E37,A20)</f>
        <v>4</v>
      </c>
      <c r="C20">
        <f>AVERAGEIF(Sheet1!E8:E37,A20,Sheet1!G8:G37)</f>
        <v>3.4749999999999996</v>
      </c>
    </row>
    <row r="23" spans="1:3">
      <c r="A23" t="s">
        <v>229</v>
      </c>
      <c r="B23" t="s">
        <v>99</v>
      </c>
      <c r="C23" t="s">
        <v>240</v>
      </c>
    </row>
    <row r="24" spans="1:3">
      <c r="A24" t="s">
        <v>97</v>
      </c>
      <c r="B24">
        <f>COUNTIF(Sheet2!$D$2:$D$31,"*Advanced*")</f>
        <v>10</v>
      </c>
      <c r="C24">
        <f>AVERAGEIF(Sheet2!$D$2:$D$31,"*Advanced*",Sheet2!$E$2:$E$31)</f>
        <v>4.59</v>
      </c>
    </row>
    <row r="25" spans="1:3">
      <c r="A25" t="s">
        <v>102</v>
      </c>
      <c r="B25">
        <f>COUNTIF(Sheet2!$D$2:$D$31,"*Advanced*")</f>
        <v>10</v>
      </c>
      <c r="C25">
        <f>AVERAGEIF(Sheet2!$D$2:$D$31,"*Advanced*",Sheet2!$E$2:$E$31)</f>
        <v>4.59</v>
      </c>
    </row>
    <row r="26" spans="1:3">
      <c r="A26" t="s">
        <v>241</v>
      </c>
      <c r="B26">
        <f>COUNTIF(Sheet2!$D$2:$D$31,"*Advanced*")</f>
        <v>10</v>
      </c>
      <c r="C26">
        <f>AVERAGEIF(Sheet2!$D$2:$D$31,"*Advanced*",Sheet2!$E$2:$E$31)</f>
        <v>4.59</v>
      </c>
    </row>
    <row r="28" spans="1:3">
      <c r="C28" t="s">
        <v>242</v>
      </c>
    </row>
    <row r="30" spans="1:3">
      <c r="A30" t="s">
        <v>91</v>
      </c>
      <c r="B30" t="s">
        <v>99</v>
      </c>
      <c r="C30" t="s">
        <v>240</v>
      </c>
    </row>
    <row r="31" spans="1:3">
      <c r="A31" t="s">
        <v>11</v>
      </c>
      <c r="B31">
        <f>COUNTIF(Sheet2!$C$2:$C$31,"*"&amp;A31&amp;"*")</f>
        <v>4</v>
      </c>
      <c r="C31">
        <f>AVERAGEIF(Sheet2!$C$2:$C$31,"*"&amp;A31&amp;"*",Sheet2!$E$2:$E$31)</f>
        <v>4.5750000000000002</v>
      </c>
    </row>
    <row r="32" spans="1:3">
      <c r="A32" t="s">
        <v>18</v>
      </c>
      <c r="B32">
        <f>COUNTIF(Sheet2!$C$2:$C$31,"*"&amp;A32&amp;"*")</f>
        <v>4</v>
      </c>
      <c r="C32">
        <f>AVERAGEIF(Sheet2!$C$2:$C$31,"*"&amp;A32&amp;"*",Sheet2!$E$2:$E$31)</f>
        <v>4.25</v>
      </c>
    </row>
    <row r="33" spans="1:3">
      <c r="A33" t="s">
        <v>21</v>
      </c>
      <c r="B33">
        <f>COUNTIF(Sheet2!$C$2:$C$31,"*"&amp;A33&amp;"*")</f>
        <v>5</v>
      </c>
      <c r="C33">
        <f>AVERAGEIF(Sheet2!$C$2:$C$31,"*"&amp;A33&amp;"*",Sheet2!$E$2:$E$31)</f>
        <v>4.62</v>
      </c>
    </row>
    <row r="34" spans="1:3">
      <c r="A34" t="s">
        <v>27</v>
      </c>
      <c r="B34">
        <f>COUNTIF(Sheet2!$C$2:$C$31,"*"&amp;A34&amp;"*")</f>
        <v>4</v>
      </c>
      <c r="C34">
        <f>AVERAGEIF(Sheet2!$C$2:$C$31,"*"&amp;A34&amp;"*",Sheet2!$E$2:$E$31)</f>
        <v>4.55</v>
      </c>
    </row>
    <row r="35" spans="1:3">
      <c r="A35" t="s">
        <v>24</v>
      </c>
      <c r="B35">
        <f>COUNTIF(Sheet2!$C$2:$C$31,"*"&amp;A35&amp;"*")</f>
        <v>4</v>
      </c>
      <c r="C35">
        <f>AVERAGEIF(Sheet2!$C$2:$C$31,"*"&amp;A35&amp;"*",Sheet2!$E$2:$E$31)</f>
        <v>4.55</v>
      </c>
    </row>
    <row r="36" spans="1:3">
      <c r="A36" t="s">
        <v>30</v>
      </c>
      <c r="B36">
        <f>COUNTIF(Sheet2!$C$2:$C$31,"*"&amp;A36&amp;"*")</f>
        <v>3</v>
      </c>
      <c r="C36">
        <f>AVERAGEIF(Sheet2!$C$2:$C$31,"*"&amp;A36&amp;"*",Sheet2!$E$2:$E$31)</f>
        <v>4.2</v>
      </c>
    </row>
    <row r="37" spans="1:3">
      <c r="A37" t="s">
        <v>15</v>
      </c>
      <c r="B37">
        <f>COUNTIF(Sheet2!$C$2:$C$31,"*"&amp;A37&amp;"*")</f>
        <v>4</v>
      </c>
      <c r="C37">
        <f>AVERAGEIF(Sheet2!$C$2:$C$31,"*"&amp;A37&amp;"*",Sheet2!$E$2:$E$31)</f>
        <v>4.7750000000000004</v>
      </c>
    </row>
    <row r="38" spans="1:3">
      <c r="A38" t="s">
        <v>124</v>
      </c>
      <c r="B38">
        <f>COUNTIF(Sheet2!$C$2:$C$31,"*"&amp;A38&amp;"*")</f>
        <v>2</v>
      </c>
      <c r="C38">
        <f>AVERAGEIF(Sheet2!$C$2:$C$31,"*"&amp;A38&amp;"*",Sheet2!$E$2:$E$31)</f>
        <v>4.4000000000000004</v>
      </c>
    </row>
    <row r="41" spans="1:3">
      <c r="A41" t="s">
        <v>243</v>
      </c>
    </row>
    <row r="42" spans="1:3">
      <c r="A42" t="s">
        <v>232</v>
      </c>
      <c r="B42" t="s">
        <v>6</v>
      </c>
    </row>
    <row r="43" spans="1:3">
      <c r="B43">
        <f>CORREL(Sheet1!F2:F31,Sheet1!G2:G31)</f>
        <v>0.80729514193111906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55C4C-ADAB-4FAA-8A63-50384E949B44}">
  <dimension ref="A1:C13"/>
  <sheetViews>
    <sheetView tabSelected="1" workbookViewId="0">
      <selection activeCell="C11" sqref="C11:C13"/>
    </sheetView>
  </sheetViews>
  <sheetFormatPr defaultRowHeight="15"/>
  <cols>
    <col min="1" max="1" width="16" customWidth="1"/>
    <col min="2" max="2" width="13.42578125" customWidth="1"/>
    <col min="3" max="3" width="15.85546875" customWidth="1"/>
  </cols>
  <sheetData>
    <row r="1" spans="1:3">
      <c r="A1" t="s">
        <v>91</v>
      </c>
      <c r="B1" t="s">
        <v>244</v>
      </c>
      <c r="C1" t="s">
        <v>240</v>
      </c>
    </row>
    <row r="2" spans="1:3">
      <c r="A2" t="s">
        <v>11</v>
      </c>
      <c r="B2">
        <f>COUNTIF(Sheet2!C2:C31,A2)</f>
        <v>4</v>
      </c>
      <c r="C2">
        <f>COUNT(Sheet2!E2:E31)</f>
        <v>30</v>
      </c>
    </row>
    <row r="3" spans="1:3">
      <c r="A3" t="s">
        <v>18</v>
      </c>
      <c r="B3">
        <f>COUNTIF(Sheet2!C3:C32,A3)</f>
        <v>4</v>
      </c>
      <c r="C3">
        <f>COUNT(Sheet2!E3:E32)</f>
        <v>29</v>
      </c>
    </row>
    <row r="4" spans="1:3">
      <c r="A4" t="s">
        <v>21</v>
      </c>
      <c r="B4">
        <f>COUNTIF(Sheet2!C4:C33,A4)</f>
        <v>0</v>
      </c>
      <c r="C4">
        <f>COUNT(Sheet2!E4:E33)</f>
        <v>28</v>
      </c>
    </row>
    <row r="5" spans="1:3">
      <c r="A5" t="s">
        <v>27</v>
      </c>
      <c r="B5">
        <f>COUNTIF(Sheet2!C5:C34,A5)</f>
        <v>4</v>
      </c>
      <c r="C5">
        <f>COUNT(Sheet2!E5:E34)</f>
        <v>27</v>
      </c>
    </row>
    <row r="6" spans="1:3">
      <c r="A6" t="s">
        <v>24</v>
      </c>
      <c r="B6">
        <f>COUNTIF(Sheet2!C6:C35,A6)</f>
        <v>4</v>
      </c>
      <c r="C6">
        <f>COUNT(Sheet2!E6:E35)</f>
        <v>26</v>
      </c>
    </row>
    <row r="7" spans="1:3">
      <c r="A7" t="s">
        <v>30</v>
      </c>
      <c r="B7">
        <f>COUNTIF(Sheet2!C7:C36,A7)</f>
        <v>3</v>
      </c>
      <c r="C7">
        <f>COUNT(Sheet2!E7:E36)</f>
        <v>25</v>
      </c>
    </row>
    <row r="8" spans="1:3">
      <c r="A8" t="s">
        <v>15</v>
      </c>
      <c r="B8">
        <f>COUNTIF(Sheet2!C8:C37,A8)</f>
        <v>4</v>
      </c>
      <c r="C8">
        <f>COUNT(Sheet2!E8:E37)</f>
        <v>24</v>
      </c>
    </row>
    <row r="9" spans="1:3">
      <c r="A9" t="s">
        <v>245</v>
      </c>
      <c r="B9">
        <f>COUNTIF(Sheet2!C9:C38,A9)</f>
        <v>0</v>
      </c>
      <c r="C9">
        <f>COUNT(Sheet2!E9:E38)</f>
        <v>23</v>
      </c>
    </row>
    <row r="10" spans="1:3">
      <c r="A10" t="s">
        <v>92</v>
      </c>
      <c r="B10" t="s">
        <v>99</v>
      </c>
      <c r="C10" t="s">
        <v>240</v>
      </c>
    </row>
    <row r="11" spans="1:3">
      <c r="A11" t="s">
        <v>102</v>
      </c>
      <c r="B11">
        <f>COUNTIF(Sheet2!$D$2:$D$31,A11)</f>
        <v>10</v>
      </c>
      <c r="C11">
        <f>AVERAGE(Sheet2!E2:E31)</f>
        <v>4.5100000000000007</v>
      </c>
    </row>
    <row r="12" spans="1:3">
      <c r="A12" t="s">
        <v>97</v>
      </c>
      <c r="B12">
        <f>COUNTIF(Sheet2!$D$2:$D$31,A12)</f>
        <v>10</v>
      </c>
      <c r="C12">
        <f>AVERAGE(Sheet2!E3:E32)</f>
        <v>4.5068965517241386</v>
      </c>
    </row>
    <row r="13" spans="1:3">
      <c r="A13" t="s">
        <v>107</v>
      </c>
      <c r="B13">
        <f>COUNTIF(Sheet2!$D$2:$D$31,A13)</f>
        <v>10</v>
      </c>
      <c r="C13">
        <f>AVERAGE(Sheet2!E4:E33)</f>
        <v>4.5142857142857142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2026-08-21T19:25:45Z</dcterms:created>
  <dcterms:modified xsi:type="dcterms:W3CDTF">2026-08-31T10:33:07Z</dcterms:modified>
  <cp:category/>
  <cp:contentStatus/>
</cp:coreProperties>
</file>